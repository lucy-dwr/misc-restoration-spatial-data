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defaultThemeVersion="166925"/>
  <mc:AlternateContent xmlns:mc="http://schemas.openxmlformats.org/markup-compatibility/2006">
    <mc:Choice Requires="x15">
      <x15ac:absPath xmlns:x15ac="http://schemas.microsoft.com/office/spreadsheetml/2010/11/ac" url="C:\Users\MatthewWeber\Downloads\"/>
    </mc:Choice>
  </mc:AlternateContent>
  <xr:revisionPtr revIDLastSave="0" documentId="8_{2C6F0619-C280-4F7C-89B0-A86F9AB48EBB}" xr6:coauthVersionLast="47" xr6:coauthVersionMax="47" xr10:uidLastSave="{00000000-0000-0000-0000-000000000000}"/>
  <bookViews>
    <workbookView xWindow="28680" yWindow="1755" windowWidth="29040" windowHeight="15720" activeTab="2" xr2:uid="{00000000-000D-0000-FFFF-FFFF00000000}"/>
  </bookViews>
  <sheets>
    <sheet name="notes-instructions" sheetId="5" r:id="rId1"/>
    <sheet name="schema" sheetId="1" r:id="rId2"/>
    <sheet name="HW" sheetId="6" r:id="rId3"/>
    <sheet name="LLB" sheetId="8" r:id="rId4"/>
    <sheet name="ULB" sheetId="7" r:id="rId5"/>
    <sheet name="URB" sheetId="9" r:id="rId6"/>
    <sheet name="target-species" sheetId="4" r:id="rId7"/>
    <sheet name="validation-heuristics" sheetId="2" r:id="rId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C18" i="8" l="1"/>
  <c r="C18" i="9"/>
  <c r="C18" i="7"/>
  <c r="C16" i="7"/>
  <c r="C16" i="9"/>
  <c r="C16" i="8"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tc={7CC84DC9-C82E-45BB-94B2-79EB25A1B03E}</author>
  </authors>
  <commentList>
    <comment ref="C20" authorId="0" shapeId="0" xr:uid="{7CC84DC9-C82E-45BB-94B2-79EB25A1B03E}">
      <text>
        <t>[Threaded comment]
Your version of Excel allows you to read this threaded comment; however, any edits to it will get removed if the file is opened in a newer version of Excel. Learn more: https://go.microsoft.com/fwlink/?linkid=870924
Comment:
    Not sure if WCB or YWA contributed</t>
      </text>
    </comment>
  </commentList>
</comments>
</file>

<file path=xl/sharedStrings.xml><?xml version="1.0" encoding="utf-8"?>
<sst xmlns="http://schemas.openxmlformats.org/spreadsheetml/2006/main" count="958" uniqueCount="247">
  <si>
    <t>FILE SUBMISSION</t>
  </si>
  <si>
    <t>Email files to Lucy at lucy.andrews@water.ca.gov, following the schema and acceptable file formats and geometries described below</t>
  </si>
  <si>
    <t>ACCEPTABLE FILE FORMATS</t>
  </si>
  <si>
    <t>Acceptable file formats:
GeoPackage (.gpkg) - preferred
zipped shapefile (.zip) - must be zipped and contain at minimum .shp, .shx, .dbf, and .prj; provide one logical layer per zip</t>
  </si>
  <si>
    <t>ACCEPTABLE GEOMETRIES</t>
  </si>
  <si>
    <t>Geometry may be POLYGON, MULTIPOLYGON, POINT, or MULTIPOINT
Spatial features will be centralized as MULTIPOLYGON and MULTIPOINT objects upon validation and ingestion
A single feature may have MULTIPOLYGON or MULTIPOINT geometry only when all parts represent one restoration project; otherwise, separate projects must be submitted as separate records</t>
  </si>
  <si>
    <t>CRS</t>
  </si>
  <si>
    <t>Submitted spatial data must include a defined coordinate reference system
Data may be submitted in common California projected coordinate systems or in WGS84 latitude/longitude, but all geometries will be transformed to NAD83/California Albers (EPSG:3310) in dataset standardization</t>
  </si>
  <si>
    <t>UNIQUE IDENTIFIERS</t>
  </si>
  <si>
    <t>A unique identifier will be assigned to each project when the first version of the dataset is complete
Project name canonicalization will also be determined at that time and associated with unique identifiers
After that, all project data updates will be required to be submitted with the unique identifiers included so as to permit dataset versioning
Dataset versioning will be accomplished in the central data store and is not the responsibility of spatial data producers/submitters</t>
  </si>
  <si>
    <t>FOOTPRINT DEFINITION</t>
  </si>
  <si>
    <t>Any POLYGON or MULTIPOLYGON features submitted should capture the full extent of habitat being restored at any flow rate and/or season
The areas of different specific habitat types inside of a broader habitat extent will not at this time be independently collected or displayed</t>
  </si>
  <si>
    <t>ACREAGE ACCOUNTING</t>
  </si>
  <si>
    <t>This dataset will not be used for accounting purposes
It is purely for public-facing communication</t>
  </si>
  <si>
    <t>SCHEMA/DATA MODEL</t>
  </si>
  <si>
    <t>Please follow the data model described in the "schema" tab
Files will be automatically validated against the schema and geometry-related validation operations and rejected if validation fails
In the case of rejection, Lucy will communication the reason for rejection and recommended fix to the dataset submitter</t>
  </si>
  <si>
    <t>MISSING INFORMATION</t>
  </si>
  <si>
    <t>If you do not have information in a required field, please indicate that with a value of NA or NULL (if a string field) or -9999 (if an integer field)</t>
  </si>
  <si>
    <r>
      <rPr>
        <b/>
        <sz val="11"/>
        <color rgb="FF000000"/>
        <rFont val="Calibri"/>
        <family val="2"/>
        <scheme val="minor"/>
      </rPr>
      <t xml:space="preserve">Acceptable file formats:
- GeoPackage (.gpkg) - preferred
</t>
    </r>
    <r>
      <rPr>
        <sz val="11"/>
        <color rgb="FF000000"/>
        <rFont val="Calibri"/>
        <family val="2"/>
        <scheme val="minor"/>
      </rPr>
      <t>- zipped shapefile (.zip) - must be zipped and contain at minimum .shp, .shx, .dbf, and .prj; provide one logical layer per zip</t>
    </r>
  </si>
  <si>
    <t>Field</t>
  </si>
  <si>
    <t>Field Name</t>
  </si>
  <si>
    <t>Description</t>
  </si>
  <si>
    <t>Data Type</t>
  </si>
  <si>
    <t>Controlled Vocabulary</t>
  </si>
  <si>
    <t>Required</t>
  </si>
  <si>
    <t>Notes</t>
  </si>
  <si>
    <t>Comments</t>
  </si>
  <si>
    <t>Project ID</t>
  </si>
  <si>
    <t>project_id</t>
  </si>
  <si>
    <t>Unique project identifier</t>
  </si>
  <si>
    <t>integer</t>
  </si>
  <si>
    <t>Project name</t>
  </si>
  <si>
    <t>project_name</t>
  </si>
  <si>
    <t>Name of the project</t>
  </si>
  <si>
    <t>string</t>
  </si>
  <si>
    <r>
      <rPr>
        <b/>
        <sz val="11"/>
        <color rgb="FF000000"/>
        <rFont val="Calibri"/>
        <family val="2"/>
        <scheme val="minor"/>
      </rPr>
      <t>This name will be treated as canonical for HRL purposes</t>
    </r>
    <r>
      <rPr>
        <sz val="11"/>
        <color rgb="FF000000"/>
        <rFont val="Calibri"/>
        <family val="2"/>
        <scheme val="minor"/>
      </rPr>
      <t>; it better to be verbose than brief or acronym-heavy</t>
    </r>
  </si>
  <si>
    <t>Project description</t>
  </si>
  <si>
    <t>project_description</t>
  </si>
  <si>
    <t>Brief description of the project</t>
  </si>
  <si>
    <r>
      <rPr>
        <sz val="11"/>
        <color rgb="FF000000"/>
        <rFont val="Calibri"/>
        <family val="2"/>
        <scheme val="minor"/>
      </rPr>
      <t xml:space="preserve">Free text with 500 character limit; </t>
    </r>
    <r>
      <rPr>
        <b/>
        <sz val="11"/>
        <color rgb="FF000000"/>
        <rFont val="Calibri"/>
        <family val="2"/>
        <scheme val="minor"/>
      </rPr>
      <t>text beyond the character limit will be fully truncated</t>
    </r>
  </si>
  <si>
    <t>Project stage</t>
  </si>
  <si>
    <t>project_stage</t>
  </si>
  <si>
    <t>Stage the project is in at the time of data submission</t>
  </si>
  <si>
    <t>concept/feasibility; CEQA; permitting; design; construction; post-construction monitoring and science</t>
  </si>
  <si>
    <r>
      <rPr>
        <sz val="11"/>
        <color rgb="FF000000"/>
        <rFont val="Calibri"/>
        <family val="2"/>
        <scheme val="minor"/>
      </rPr>
      <t xml:space="preserve">Select many; </t>
    </r>
    <r>
      <rPr>
        <b/>
        <sz val="11"/>
        <color rgb="FF000000"/>
        <rFont val="Calibri"/>
        <family val="2"/>
        <scheme val="minor"/>
      </rPr>
      <t>must use controlled vocabulary</t>
    </r>
    <r>
      <rPr>
        <sz val="11"/>
        <color rgb="FF000000"/>
        <rFont val="Calibri"/>
        <family val="2"/>
        <scheme val="minor"/>
      </rPr>
      <t>; semicolon delimited</t>
    </r>
  </si>
  <si>
    <t>Contact name</t>
  </si>
  <si>
    <t>contact_name</t>
  </si>
  <si>
    <t>Name of the primary contact for the project</t>
  </si>
  <si>
    <r>
      <rPr>
        <b/>
        <sz val="11"/>
        <color rgb="FF000000"/>
        <rFont val="Calibri"/>
        <family val="2"/>
        <scheme val="minor"/>
      </rPr>
      <t>This should be the name of someone working at the HRL signatory entity</t>
    </r>
    <r>
      <rPr>
        <sz val="11"/>
        <color rgb="FF000000"/>
        <rFont val="Calibri"/>
        <family val="2"/>
        <scheme val="minor"/>
      </rPr>
      <t>; it should not be the name of a contractor</t>
    </r>
  </si>
  <si>
    <t>Contact email address</t>
  </si>
  <si>
    <t>contact_email</t>
  </si>
  <si>
    <t>Email address of the lead entity primary contact for the project</t>
  </si>
  <si>
    <t>Must be formatted as an email</t>
  </si>
  <si>
    <t>Lead entity</t>
  </si>
  <si>
    <t>lead_entity</t>
  </si>
  <si>
    <t>Entity responsible for the project</t>
  </si>
  <si>
    <t>Will be checked against a program-level key table that includes both full names and common acronyms</t>
  </si>
  <si>
    <t>Contractor(s)</t>
  </si>
  <si>
    <t>contractors</t>
  </si>
  <si>
    <t>Contractor(s) working on the project data</t>
  </si>
  <si>
    <r>
      <rPr>
        <sz val="11"/>
        <color rgb="FF000000"/>
        <rFont val="Calibri"/>
        <family val="2"/>
        <scheme val="minor"/>
      </rPr>
      <t xml:space="preserve">Contractor(s) may be working with spatial and/or monitoring data and should not be exclusively a construction contractor(s); </t>
    </r>
    <r>
      <rPr>
        <b/>
        <sz val="11"/>
        <color rgb="FF000000"/>
        <rFont val="Calibri"/>
        <family val="2"/>
        <scheme val="minor"/>
      </rPr>
      <t>multiple contractors should be delimited with semi-colons</t>
    </r>
  </si>
  <si>
    <t>Early implementation</t>
  </si>
  <si>
    <t>early_implementation</t>
  </si>
  <si>
    <t>Whether the project is early implementation or not</t>
  </si>
  <si>
    <t>boolean</t>
  </si>
  <si>
    <t>TRUE; FALSE</t>
  </si>
  <si>
    <t>Assignment required; if in doubt, talk to Josh Martinez</t>
  </si>
  <si>
    <t>Anticipated construction start year</t>
  </si>
  <si>
    <t>construction_start_year</t>
  </si>
  <si>
    <t>Estimated year of project construction initiation</t>
  </si>
  <si>
    <t>[2018, 2035]</t>
  </si>
  <si>
    <t>Anticipated construction completion year</t>
  </si>
  <si>
    <t>construction_completion_year</t>
  </si>
  <si>
    <t>Estimated year of project construction completion</t>
  </si>
  <si>
    <t>[2018, 2040]</t>
  </si>
  <si>
    <t>Comments on anticipated completion year</t>
  </si>
  <si>
    <t>construction_completion_year_comments</t>
  </si>
  <si>
    <t>Additional notes on project construction completion year</t>
  </si>
  <si>
    <r>
      <rPr>
        <sz val="11"/>
        <color rgb="FF000000"/>
        <rFont val="Calibri"/>
        <family val="2"/>
        <scheme val="minor"/>
      </rPr>
      <t>Free text with 250 character limit;</t>
    </r>
    <r>
      <rPr>
        <b/>
        <sz val="11"/>
        <color rgb="FF000000"/>
        <rFont val="Calibri"/>
        <family val="2"/>
        <scheme val="minor"/>
      </rPr>
      <t xml:space="preserve"> text beyond the character limit will be fully truncated</t>
    </r>
  </si>
  <si>
    <t>Estimated total budget</t>
  </si>
  <si>
    <t>estimated_budget</t>
  </si>
  <si>
    <t>Estimated total project costs</t>
  </si>
  <si>
    <t>It is okay for this to be an estimate!</t>
  </si>
  <si>
    <t>Comments on estimated total budget</t>
  </si>
  <si>
    <t>estimated_budget_comments</t>
  </si>
  <si>
    <t>Comments on estimated total budget, including what is incorporated in that value, if desired</t>
  </si>
  <si>
    <t>Funding secured</t>
  </si>
  <si>
    <t>funding_secured</t>
  </si>
  <si>
    <t>The total dollar value of funding already secured for the project</t>
  </si>
  <si>
    <t>Will not be publicly displayed</t>
  </si>
  <si>
    <t>Funding gap</t>
  </si>
  <si>
    <t>funding_gap</t>
  </si>
  <si>
    <t>Gap between estimated total budget and funding secured</t>
  </si>
  <si>
    <r>
      <rPr>
        <sz val="11"/>
        <color rgb="FF000000"/>
        <rFont val="Calibri"/>
        <family val="2"/>
        <scheme val="minor"/>
      </rPr>
      <t xml:space="preserve">Will be checked against the calculated difference between estimated total budget and funding secured; if there is a discrepancy, the calculated value will be used in place of the submitted value; </t>
    </r>
    <r>
      <rPr>
        <b/>
        <sz val="11"/>
        <color rgb="FF000000"/>
        <rFont val="Calibri"/>
        <family val="2"/>
        <scheme val="minor"/>
      </rPr>
      <t>will not be publicly displayed</t>
    </r>
  </si>
  <si>
    <t>Funding sources</t>
  </si>
  <si>
    <t>funding_sources</t>
  </si>
  <si>
    <t>List of grants, appropriated funds, etc. used to fund all or portions of the project, ideally at a general level; does not need to be exhaustive</t>
  </si>
  <si>
    <r>
      <rPr>
        <b/>
        <sz val="11"/>
        <color rgb="FF000000"/>
        <rFont val="Calibri"/>
        <family val="2"/>
        <scheme val="minor"/>
      </rPr>
      <t>Do not indicate amount from each source; just name the sources</t>
    </r>
    <r>
      <rPr>
        <sz val="11"/>
        <color rgb="FF000000"/>
        <rFont val="Calibri"/>
        <family val="2"/>
        <scheme val="minor"/>
      </rPr>
      <t>; semicolon delimited</t>
    </r>
  </si>
  <si>
    <t>System</t>
  </si>
  <si>
    <t>system</t>
  </si>
  <si>
    <t>River system or region associated with project</t>
  </si>
  <si>
    <t>American; Delta; Feather; Mokelumne; Putah; Sacramento; Sutter Bypass; Tuolumne; Yolo Bypass; Yuba; Other</t>
  </si>
  <si>
    <t>Must use controlled vocabulary</t>
  </si>
  <si>
    <t>Project type(s)</t>
  </si>
  <si>
    <t>project_type</t>
  </si>
  <si>
    <t>Type(s) of project</t>
  </si>
  <si>
    <t>bypass floodplain habitat; fish food production; fish passage improvement; fish screen installation or improvement; rearing habitat; spawning habitat; tidal habitat; tributary floodplain habitat; other</t>
  </si>
  <si>
    <r>
      <rPr>
        <sz val="11"/>
        <color rgb="FF000000"/>
        <rFont val="Calibri"/>
        <family val="2"/>
        <scheme val="minor"/>
      </rPr>
      <t xml:space="preserve">Select many, semicolon delimited; </t>
    </r>
    <r>
      <rPr>
        <b/>
        <sz val="11"/>
        <color rgb="FF000000"/>
        <rFont val="Calibri"/>
        <family val="2"/>
        <scheme val="minor"/>
      </rPr>
      <t>must use controlled vocabulary</t>
    </r>
  </si>
  <si>
    <t>Total project acreage</t>
  </si>
  <si>
    <t>acreage</t>
  </si>
  <si>
    <t>numeric</t>
  </si>
  <si>
    <t>Bypass floodplain acreage</t>
  </si>
  <si>
    <t>acreage_bypass_floodplain</t>
  </si>
  <si>
    <t>Project acreage that is bypass floodplain habitat</t>
  </si>
  <si>
    <t>Should be the acreage that is anticipated to be verified through the HRL accounting process</t>
  </si>
  <si>
    <t>Fish food production acreage</t>
  </si>
  <si>
    <t>acreage_fish_food</t>
  </si>
  <si>
    <t>Project acreage that is for fish food production</t>
  </si>
  <si>
    <t>Tributary floodplain habitat acreage</t>
  </si>
  <si>
    <t>acreage_tributary_floodplain</t>
  </si>
  <si>
    <t>Project acreage that is tributary floodplain habitat</t>
  </si>
  <si>
    <t>Tributary rearing habitat acreage</t>
  </si>
  <si>
    <t>acreage_tributary_rearing</t>
  </si>
  <si>
    <t>Project acreage that is tributary rearing habitat</t>
  </si>
  <si>
    <t>Tributary spawning habitat acreage</t>
  </si>
  <si>
    <t>acreage_tributary_spawning</t>
  </si>
  <si>
    <t>Project acreage that is tributary spawning habitat</t>
  </si>
  <si>
    <t>Tidal wetland habitat acreage</t>
  </si>
  <si>
    <t>acreage_tidal_wetland</t>
  </si>
  <si>
    <t>Project acreage that is tidal wetlands habitat</t>
  </si>
  <si>
    <t>Target species</t>
  </si>
  <si>
    <t>target_species</t>
  </si>
  <si>
    <t>Species targeted by the project</t>
  </si>
  <si>
    <t>See tab "target-species"</t>
  </si>
  <si>
    <t>Geometry</t>
  </si>
  <si>
    <t>geometry</t>
  </si>
  <si>
    <t>Spatial representation of project location or footprint</t>
  </si>
  <si>
    <r>
      <rPr>
        <sz val="11"/>
        <color rgb="FF000000"/>
        <rFont val="Calibri"/>
        <family val="2"/>
        <scheme val="minor"/>
      </rPr>
      <t xml:space="preserve">Geometry may be POLYGON, MULTIPOLYGON, POINT, or MULTIPOINT; spatial features will be centralized as MULTIPOLYGON and MULTIPOINT objects upon validation and ingestion; </t>
    </r>
    <r>
      <rPr>
        <b/>
        <sz val="11"/>
        <color rgb="FF000000"/>
        <rFont val="Calibri"/>
        <family val="2"/>
        <scheme val="minor"/>
      </rPr>
      <t>a single feature may have MULTIPOLYGON or MULTIPOINT geometry only when all parts represent one restoration project; otherwise, separate projects must be submitted as separate records
Submitted spatial data must include a defined coordinate reference system; data may be submitted in common California projected coordinate systems or in WGS84 latitude/longitude</t>
    </r>
    <r>
      <rPr>
        <sz val="11"/>
        <color rgb="FF000000"/>
        <rFont val="Calibri"/>
        <family val="2"/>
        <scheme val="minor"/>
      </rPr>
      <t>, but all geometries will be transformed to NAD83/California Albers (EPSG:3310) in dataset standardization</t>
    </r>
  </si>
  <si>
    <t>Last update</t>
  </si>
  <si>
    <t>update_date</t>
  </si>
  <si>
    <t>Date of last update</t>
  </si>
  <si>
    <t>date</t>
  </si>
  <si>
    <t>Will be automatically assigned upon record creation or update</t>
  </si>
  <si>
    <t>Group</t>
  </si>
  <si>
    <t>Common name</t>
  </si>
  <si>
    <t>Lampreys</t>
  </si>
  <si>
    <t>Pacific lamprey</t>
  </si>
  <si>
    <t>River lamprey</t>
  </si>
  <si>
    <t>Western brook lamprey</t>
  </si>
  <si>
    <t>Sturgeons</t>
  </si>
  <si>
    <t>White sturgeon</t>
  </si>
  <si>
    <t>Green sturgeon</t>
  </si>
  <si>
    <t>Salmonids</t>
  </si>
  <si>
    <t>Chinook salmon</t>
  </si>
  <si>
    <t>Steelhead trout</t>
  </si>
  <si>
    <t>Minnows and related fishes</t>
  </si>
  <si>
    <t>California roach</t>
  </si>
  <si>
    <t>Hardhead</t>
  </si>
  <si>
    <t>Hitch</t>
  </si>
  <si>
    <t>Sacramento blackfish</t>
  </si>
  <si>
    <t>Sacramento pikeminnow</t>
  </si>
  <si>
    <t>Sacramento splittail</t>
  </si>
  <si>
    <t>Speckled dace</t>
  </si>
  <si>
    <t>Suckers</t>
  </si>
  <si>
    <t>Sacramento sucker</t>
  </si>
  <si>
    <t>Smelts</t>
  </si>
  <si>
    <t>Delta smelt</t>
  </si>
  <si>
    <t>Longfin smelt</t>
  </si>
  <si>
    <t>Sticklebacks</t>
  </si>
  <si>
    <t>Threespine stickleback</t>
  </si>
  <si>
    <t>Sunfish</t>
  </si>
  <si>
    <t>Sacramento perch</t>
  </si>
  <si>
    <t>Surfperches</t>
  </si>
  <si>
    <t>Tule perch</t>
  </si>
  <si>
    <t>Sculpins</t>
  </si>
  <si>
    <t>Prickly sculpin</t>
  </si>
  <si>
    <t>Riffle sculpin</t>
  </si>
  <si>
    <t>Estuarine sculpins</t>
  </si>
  <si>
    <t>Pacific staghorn sculpin</t>
  </si>
  <si>
    <t>Flatfishes</t>
  </si>
  <si>
    <t>Starry flounder</t>
  </si>
  <si>
    <t>Gobies</t>
  </si>
  <si>
    <t>Tidewater goby</t>
  </si>
  <si>
    <t>0. SUBMISSION CHECK</t>
  </si>
  <si>
    <t>Must specify:</t>
  </si>
  <si>
    <t>a. acceptable file format(s)</t>
  </si>
  <si>
    <t>b. encoding</t>
  </si>
  <si>
    <t>c. layer structure</t>
  </si>
  <si>
    <t>1. ATTRIBUTE SCHEMA</t>
  </si>
  <si>
    <t>Table-level contract for each spatial feature</t>
  </si>
  <si>
    <t>a. required fields</t>
  </si>
  <si>
    <t>b. field names</t>
  </si>
  <si>
    <t>c. data types</t>
  </si>
  <si>
    <t>d. nullability</t>
  </si>
  <si>
    <t>e. controlled vocabularies</t>
  </si>
  <si>
    <t>f. field length and format rules</t>
  </si>
  <si>
    <t>g. record-level business rules</t>
  </si>
  <si>
    <t>h. unique identifier presense and uniqueness</t>
  </si>
  <si>
    <t>2. GEOMETRY SCHEMA</t>
  </si>
  <si>
    <t>a. geometry is required</t>
  </si>
  <si>
    <t>b. allowable geometry types (point, polygon)</t>
  </si>
  <si>
    <t>c. whether multipart geometries are allowed (no?)</t>
  </si>
  <si>
    <t>e. whether geometry can be empty</t>
  </si>
  <si>
    <t>3. SPATIAL VALIDITY AND INTEGRITY GATES</t>
  </si>
  <si>
    <t>a. valid geometry</t>
  </si>
  <si>
    <t>b. CRS compliance</t>
  </si>
  <si>
    <t>c. spatial extent constraints</t>
  </si>
  <si>
    <t>d. no self-intersections</t>
  </si>
  <si>
    <t>e. no slivers</t>
  </si>
  <si>
    <t>f. no duplicate geometries</t>
  </si>
  <si>
    <r>
      <t xml:space="preserve">This should be the total acres restored as habitat; </t>
    </r>
    <r>
      <rPr>
        <b/>
        <sz val="11"/>
        <color rgb="FF000000"/>
        <rFont val="Calibri"/>
        <family val="2"/>
        <scheme val="minor"/>
      </rPr>
      <t>each acre should be counted once (i.e., an acre that provides different types of habitat at different times of year and/or at different flow rates should still be represented as one acre);</t>
    </r>
    <r>
      <rPr>
        <sz val="11"/>
        <color rgb="FF000000"/>
        <rFont val="Calibri"/>
        <family val="2"/>
        <scheme val="minor"/>
      </rPr>
      <t xml:space="preserve"> as a result, it will be different from the sum of habitat-specific accounting acres in other fields; only required if the project type contains something other than "fish screen installation or improvement" or "fish passage improvement"</t>
    </r>
  </si>
  <si>
    <r>
      <t xml:space="preserve">This field will be assigned using a program-level key table and does not need to be included with submission; </t>
    </r>
    <r>
      <rPr>
        <b/>
        <sz val="11"/>
        <color rgb="FF000000"/>
        <rFont val="Calibri"/>
        <family val="2"/>
      </rPr>
      <t>do not assign as a submitting entity</t>
    </r>
    <r>
      <rPr>
        <sz val="11"/>
        <color rgb="FF000000"/>
        <rFont val="Calibri"/>
        <family val="2"/>
      </rPr>
      <t>; IDs that are required for spatial data objects in data collector systems are fine and will be dropped in dataset standardization/integration</t>
    </r>
  </si>
  <si>
    <t>Details</t>
  </si>
  <si>
    <t>rearing habitat; spawning habitat</t>
  </si>
  <si>
    <t>Yuba</t>
  </si>
  <si>
    <t>post-construction monitoring and science</t>
  </si>
  <si>
    <t>POLYGON</t>
  </si>
  <si>
    <t>Hallwood Side Channel and Floodplain Restoration Project</t>
  </si>
  <si>
    <t>Upper Rose Bar Habitat Enhancement Project</t>
  </si>
  <si>
    <t>Upper Long Bar Habitat Enhancement Project</t>
  </si>
  <si>
    <t>Lower Long Bar Habitat Enhancement Project</t>
  </si>
  <si>
    <t>Chinook salmon; Steelhead trout</t>
  </si>
  <si>
    <t>estimated</t>
  </si>
  <si>
    <t>construction</t>
  </si>
  <si>
    <t>rearing habitat</t>
  </si>
  <si>
    <t>Floodplain lowering and contouring to enhance rearing habitat for Chinook salmon and steelhead</t>
  </si>
  <si>
    <t>Project is in the ground and has had 3 years of post-project monitoring</t>
  </si>
  <si>
    <t>includes consultant fee for Verdantas, project construction cost, estimated consultant fee for Cramer Fish Sciences</t>
  </si>
  <si>
    <t>USFWS</t>
  </si>
  <si>
    <t>Jacob Vander Meulen</t>
  </si>
  <si>
    <t>jvandermeulen@yubawater.org</t>
  </si>
  <si>
    <t>Yuba Water Agency</t>
  </si>
  <si>
    <t>Verdantas; Cramer Fish Sciences; South Yuba River Citizen League; Teichert</t>
  </si>
  <si>
    <t>USFWS CVPIA via BOR; Yuba Water Agency; Prop 1 (WCB); Prop 68</t>
  </si>
  <si>
    <t>Created and enhanced frequently inundated floodplain, side channel, and other off-channel rearing habitats for salmonids.</t>
  </si>
  <si>
    <t>South Yuba River Citizen League</t>
  </si>
  <si>
    <t>Aaron Zettler-Mann; Jacob Vander Meulen</t>
  </si>
  <si>
    <t>aaron@yubariver.org; jvandermeulen@yubawater.org</t>
  </si>
  <si>
    <t>Salmonid spawning habitat development. Placed spawning-sized gravel in the river to construct 2 riffles and excavated a side-of-channel floodplain area. Created one small lateral feature to support salmonid rearing.</t>
  </si>
  <si>
    <t>Work should be completed by Dec 2026. Contract runs through May 2027 though.</t>
  </si>
  <si>
    <r>
      <t>Verdantas;</t>
    </r>
    <r>
      <rPr>
        <sz val="11"/>
        <rFont val="Calibri"/>
        <family val="2"/>
        <scheme val="minor"/>
      </rPr>
      <t xml:space="preserve"> Cramer Fish Sciences</t>
    </r>
    <r>
      <rPr>
        <sz val="11"/>
        <color theme="1"/>
        <rFont val="Calibri"/>
        <family val="2"/>
        <scheme val="minor"/>
      </rPr>
      <t>; Blankinship &amp; Associates, a Bowman Company; Taber Construction</t>
    </r>
  </si>
  <si>
    <r>
      <t xml:space="preserve">Verdantas; </t>
    </r>
    <r>
      <rPr>
        <sz val="11"/>
        <rFont val="Calibri"/>
        <family val="2"/>
        <scheme val="minor"/>
      </rPr>
      <t>Cramer Fish Sciences;</t>
    </r>
    <r>
      <rPr>
        <sz val="11"/>
        <color rgb="FFFF0000"/>
        <rFont val="Calibri"/>
        <family val="2"/>
        <scheme val="minor"/>
      </rPr>
      <t xml:space="preserve"> </t>
    </r>
    <r>
      <rPr>
        <sz val="11"/>
        <rFont val="Calibri"/>
        <family val="2"/>
        <scheme val="minor"/>
      </rPr>
      <t>Blankinship &amp; Associates, a Bowman Company</t>
    </r>
    <r>
      <rPr>
        <sz val="11"/>
        <color theme="1"/>
        <rFont val="Calibri"/>
        <family val="2"/>
        <scheme val="minor"/>
      </rPr>
      <t>; Hansen Brothers Construction</t>
    </r>
  </si>
  <si>
    <r>
      <t>Verdantas;</t>
    </r>
    <r>
      <rPr>
        <sz val="11"/>
        <rFont val="Calibri"/>
        <family val="2"/>
        <scheme val="minor"/>
      </rPr>
      <t xml:space="preserve"> Cramer Fish Sciences; Anderson Dragline Construction</t>
    </r>
  </si>
  <si>
    <t xml:space="preserve">Verdantas consulting fees + estimated Cramer Fish Scineces and Blankinship, + construction fees from bids and change orders acquired from South Yuba River Citizen League. </t>
  </si>
  <si>
    <r>
      <t xml:space="preserve">Verdantas budget + CFS estimate. </t>
    </r>
    <r>
      <rPr>
        <sz val="11"/>
        <color rgb="FFFF0000"/>
        <rFont val="Calibri"/>
        <family val="2"/>
        <scheme val="minor"/>
      </rPr>
      <t>NEEDS CONSTRUCTION COST</t>
    </r>
  </si>
  <si>
    <t>Wildlife Conservation Board; Yuba Water Agency</t>
  </si>
  <si>
    <t>Yuba Water Agency; Wildlife Conservation Board; California Department of Fish and Wildlife Fisheries Restoration Grant Program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</si>
</sst>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_);[Red]\(&quot;$&quot;#,##0\)"/>
  </numFmts>
  <fonts count="10" x14ac:knownFonts="1">
    <font>
      <sz val="11"/>
      <color theme="1"/>
      <name val="Calibri"/>
      <family val="2"/>
      <scheme val="minor"/>
    </font>
    <font>
      <b/>
      <sz val="11"/>
      <color theme="1"/>
      <name val="Calibri"/>
      <family val="2"/>
      <scheme val="minor"/>
    </font>
    <font>
      <b/>
      <sz val="11"/>
      <color rgb="FF000000"/>
      <name val="Calibri"/>
      <family val="2"/>
      <scheme val="minor"/>
    </font>
    <font>
      <sz val="11"/>
      <color rgb="FF000000"/>
      <name val="Calibri"/>
      <family val="2"/>
    </font>
    <font>
      <b/>
      <sz val="11"/>
      <color rgb="FF000000"/>
      <name val="Calibri"/>
      <family val="2"/>
    </font>
    <font>
      <sz val="11"/>
      <color rgb="FF000000"/>
      <name val="Calibri"/>
      <family val="2"/>
      <scheme val="minor"/>
    </font>
    <font>
      <sz val="11"/>
      <color rgb="FFFF0000"/>
      <name val="Calibri"/>
      <family val="2"/>
      <scheme val="minor"/>
    </font>
    <font>
      <sz val="11"/>
      <name val="Calibri"/>
      <family val="2"/>
      <scheme val="minor"/>
    </font>
    <font>
      <u/>
      <sz val="11"/>
      <color theme="10"/>
      <name val="Calibri"/>
      <family val="2"/>
      <scheme val="minor"/>
    </font>
    <font>
      <sz val="11"/>
      <color theme="1"/>
      <name val="Calibri"/>
      <family val="2"/>
      <scheme val="minor"/>
    </font>
  </fonts>
  <fills count="11">
    <fill>
      <patternFill patternType="none"/>
    </fill>
    <fill>
      <patternFill patternType="gray125"/>
    </fill>
    <fill>
      <patternFill patternType="solid">
        <fgColor theme="5" tint="0.79998168889431442"/>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0" tint="-0.14999847407452621"/>
        <bgColor indexed="64"/>
      </patternFill>
    </fill>
    <fill>
      <patternFill patternType="solid">
        <fgColor theme="9" tint="0.59999389629810485"/>
        <bgColor indexed="64"/>
      </patternFill>
    </fill>
    <fill>
      <patternFill patternType="solid">
        <fgColor rgb="FFFFFF00"/>
        <bgColor indexed="64"/>
      </patternFill>
    </fill>
    <fill>
      <patternFill patternType="solid">
        <fgColor rgb="FFFF0000"/>
        <bgColor indexed="64"/>
      </patternFill>
    </fill>
    <fill>
      <patternFill patternType="solid">
        <fgColor rgb="FF00B050"/>
        <bgColor indexed="64"/>
      </patternFill>
    </fill>
  </fills>
  <borders count="1">
    <border>
      <left/>
      <right/>
      <top/>
      <bottom/>
      <diagonal/>
    </border>
  </borders>
  <cellStyleXfs count="2">
    <xf numFmtId="0" fontId="0" fillId="0" borderId="0"/>
    <xf numFmtId="0" fontId="8" fillId="0" borderId="0" applyNumberFormat="0" applyFill="0" applyBorder="0" applyAlignment="0" applyProtection="0"/>
  </cellStyleXfs>
  <cellXfs count="28">
    <xf numFmtId="0" fontId="0" fillId="0" borderId="0" xfId="0"/>
    <xf numFmtId="0" fontId="1" fillId="2" borderId="0" xfId="0" applyFont="1" applyFill="1"/>
    <xf numFmtId="0" fontId="0" fillId="2" borderId="0" xfId="0" applyFill="1"/>
    <xf numFmtId="0" fontId="1" fillId="3" borderId="0" xfId="0" applyFont="1" applyFill="1"/>
    <xf numFmtId="0" fontId="0" fillId="3" borderId="0" xfId="0" applyFill="1"/>
    <xf numFmtId="0" fontId="1" fillId="4" borderId="0" xfId="0" applyFont="1" applyFill="1"/>
    <xf numFmtId="0" fontId="0" fillId="4" borderId="0" xfId="0" applyFill="1"/>
    <xf numFmtId="0" fontId="1" fillId="5" borderId="0" xfId="0" applyFont="1" applyFill="1"/>
    <xf numFmtId="0" fontId="0" fillId="5" borderId="0" xfId="0" applyFill="1"/>
    <xf numFmtId="0" fontId="1" fillId="0" borderId="0" xfId="0" applyFont="1" applyAlignment="1">
      <alignment vertical="top" wrapText="1"/>
    </xf>
    <xf numFmtId="0" fontId="0" fillId="0" borderId="0" xfId="0" applyAlignment="1">
      <alignment vertical="top" wrapText="1"/>
    </xf>
    <xf numFmtId="0" fontId="1" fillId="6" borderId="0" xfId="0" applyFont="1" applyFill="1" applyAlignment="1">
      <alignment vertical="top" wrapText="1"/>
    </xf>
    <xf numFmtId="0" fontId="1" fillId="6" borderId="0" xfId="0" applyFont="1" applyFill="1" applyAlignment="1">
      <alignment horizontal="center" vertical="top" wrapText="1"/>
    </xf>
    <xf numFmtId="0" fontId="0" fillId="0" borderId="0" xfId="0" applyAlignment="1">
      <alignment horizontal="center" vertical="top" wrapText="1"/>
    </xf>
    <xf numFmtId="0" fontId="1" fillId="7" borderId="0" xfId="0" applyFont="1" applyFill="1" applyAlignment="1">
      <alignment vertical="top" wrapText="1"/>
    </xf>
    <xf numFmtId="0" fontId="2" fillId="5" borderId="0" xfId="0" applyFont="1" applyFill="1"/>
    <xf numFmtId="0" fontId="3" fillId="0" borderId="0" xfId="0" applyFont="1" applyAlignment="1">
      <alignment vertical="top" wrapText="1"/>
    </xf>
    <xf numFmtId="0" fontId="5" fillId="0" borderId="0" xfId="0" applyFont="1" applyAlignment="1">
      <alignment vertical="top" wrapText="1"/>
    </xf>
    <xf numFmtId="0" fontId="1" fillId="0" borderId="0" xfId="0" applyFont="1"/>
    <xf numFmtId="0" fontId="2" fillId="4" borderId="0" xfId="0" applyFont="1" applyFill="1" applyAlignment="1">
      <alignment vertical="top" wrapText="1"/>
    </xf>
    <xf numFmtId="0" fontId="2" fillId="0" borderId="0" xfId="0" applyFont="1" applyAlignment="1">
      <alignment vertical="top" wrapText="1"/>
    </xf>
    <xf numFmtId="0" fontId="0" fillId="8" borderId="0" xfId="0" applyFill="1" applyAlignment="1">
      <alignment horizontal="center" vertical="top" wrapText="1"/>
    </xf>
    <xf numFmtId="0" fontId="0" fillId="9" borderId="0" xfId="0" applyFill="1" applyAlignment="1">
      <alignment horizontal="center" vertical="top" wrapText="1"/>
    </xf>
    <xf numFmtId="0" fontId="0" fillId="10" borderId="0" xfId="0" applyFill="1" applyAlignment="1">
      <alignment horizontal="center" vertical="top" wrapText="1"/>
    </xf>
    <xf numFmtId="14" fontId="0" fillId="0" borderId="0" xfId="0" applyNumberFormat="1" applyAlignment="1">
      <alignment vertical="top" wrapText="1"/>
    </xf>
    <xf numFmtId="0" fontId="8" fillId="0" borderId="0" xfId="1" applyFill="1" applyAlignment="1">
      <alignment vertical="top" wrapText="1"/>
    </xf>
    <xf numFmtId="6" fontId="0" fillId="0" borderId="0" xfId="0" applyNumberFormat="1" applyAlignment="1">
      <alignment vertical="top" wrapText="1"/>
    </xf>
    <xf numFmtId="0" fontId="0" fillId="0" borderId="0" xfId="0" applyFill="1" applyAlignment="1">
      <alignment vertical="top" wrapText="1"/>
    </xf>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person displayName="Sam Diaz" id="{E9CBA9A8-FF48-44A7-93EE-C2EC7DB8C9ED}" userId="S::s.diaz@verdantas.com::fa454ae8-615f-4acb-b129-d56075000527"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20" dT="2026-05-19T16:35:27.14" personId="{E9CBA9A8-FF48-44A7-93EE-C2EC7DB8C9ED}" id="{7CC84DC9-C82E-45BB-94B2-79EB25A1B03E}">
    <text>Not sure if WCB or YWA contributed</text>
  </threadedComment>
</ThreadedComments>
</file>

<file path=xl/worksheets/_rels/sheet3.xml.rels><?xml version="1.0" encoding="UTF-8" standalone="yes"?>
<Relationships xmlns="http://schemas.openxmlformats.org/package/2006/relationships"><Relationship Id="rId1" Type="http://schemas.openxmlformats.org/officeDocument/2006/relationships/hyperlink" Target="mailto:jvandermeulen@yubawater.org" TargetMode="External"/></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1" Type="http://schemas.openxmlformats.org/officeDocument/2006/relationships/hyperlink" Target="mailto:aaron@yubariver.org;%20jvandermeulen@yubawater.or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88BBD-421F-4982-9ED2-3367346D5DE2}">
  <sheetPr>
    <tabColor rgb="FF92D050"/>
  </sheetPr>
  <dimension ref="A1:A26"/>
  <sheetViews>
    <sheetView topLeftCell="A14" workbookViewId="0">
      <selection activeCell="C23" sqref="C23"/>
    </sheetView>
  </sheetViews>
  <sheetFormatPr defaultColWidth="9.140625" defaultRowHeight="15" x14ac:dyDescent="0.25"/>
  <cols>
    <col min="1" max="1" width="106.140625" style="10" customWidth="1"/>
    <col min="2" max="16384" width="9.140625" style="10"/>
  </cols>
  <sheetData>
    <row r="1" spans="1:1" x14ac:dyDescent="0.25">
      <c r="A1" s="11" t="s">
        <v>0</v>
      </c>
    </row>
    <row r="2" spans="1:1" ht="30" x14ac:dyDescent="0.25">
      <c r="A2" s="10" t="s">
        <v>1</v>
      </c>
    </row>
    <row r="4" spans="1:1" x14ac:dyDescent="0.25">
      <c r="A4" s="11" t="s">
        <v>2</v>
      </c>
    </row>
    <row r="5" spans="1:1" ht="60" x14ac:dyDescent="0.25">
      <c r="A5" s="10" t="s">
        <v>3</v>
      </c>
    </row>
    <row r="7" spans="1:1" x14ac:dyDescent="0.25">
      <c r="A7" s="11" t="s">
        <v>4</v>
      </c>
    </row>
    <row r="8" spans="1:1" ht="63" customHeight="1" x14ac:dyDescent="0.25">
      <c r="A8" s="10" t="s">
        <v>5</v>
      </c>
    </row>
    <row r="10" spans="1:1" x14ac:dyDescent="0.25">
      <c r="A10" s="11" t="s">
        <v>6</v>
      </c>
    </row>
    <row r="11" spans="1:1" ht="45" x14ac:dyDescent="0.25">
      <c r="A11" s="10" t="s">
        <v>7</v>
      </c>
    </row>
    <row r="13" spans="1:1" x14ac:dyDescent="0.25">
      <c r="A13" s="11" t="s">
        <v>8</v>
      </c>
    </row>
    <row r="14" spans="1:1" ht="90" x14ac:dyDescent="0.25">
      <c r="A14" s="10" t="s">
        <v>9</v>
      </c>
    </row>
    <row r="16" spans="1:1" x14ac:dyDescent="0.25">
      <c r="A16" s="11" t="s">
        <v>10</v>
      </c>
    </row>
    <row r="17" spans="1:1" ht="60" x14ac:dyDescent="0.25">
      <c r="A17" s="10" t="s">
        <v>11</v>
      </c>
    </row>
    <row r="19" spans="1:1" x14ac:dyDescent="0.25">
      <c r="A19" s="11" t="s">
        <v>12</v>
      </c>
    </row>
    <row r="20" spans="1:1" ht="30" x14ac:dyDescent="0.25">
      <c r="A20" s="10" t="s">
        <v>13</v>
      </c>
    </row>
    <row r="22" spans="1:1" x14ac:dyDescent="0.25">
      <c r="A22" s="11" t="s">
        <v>14</v>
      </c>
    </row>
    <row r="23" spans="1:1" ht="75" x14ac:dyDescent="0.25">
      <c r="A23" s="10" t="s">
        <v>15</v>
      </c>
    </row>
    <row r="25" spans="1:1" x14ac:dyDescent="0.25">
      <c r="A25" s="11" t="s">
        <v>16</v>
      </c>
    </row>
    <row r="26" spans="1:1" ht="30" x14ac:dyDescent="0.25">
      <c r="A26" s="10" t="s">
        <v>17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F0"/>
  </sheetPr>
  <dimension ref="A1:H32"/>
  <sheetViews>
    <sheetView zoomScale="110" zoomScaleNormal="110" workbookViewId="0">
      <pane xSplit="1" ySplit="3" topLeftCell="B8" activePane="bottomRight" state="frozen"/>
      <selection pane="topRight"/>
      <selection pane="bottomLeft"/>
      <selection pane="bottomRight" activeCell="C12" sqref="C12"/>
    </sheetView>
  </sheetViews>
  <sheetFormatPr defaultColWidth="9.140625" defaultRowHeight="15" x14ac:dyDescent="0.25"/>
  <cols>
    <col min="1" max="1" width="39.42578125" style="9" customWidth="1"/>
    <col min="2" max="2" width="38.140625" style="10" customWidth="1"/>
    <col min="3" max="3" width="47.5703125" style="10" customWidth="1"/>
    <col min="4" max="4" width="21.140625" style="10" customWidth="1"/>
    <col min="5" max="5" width="35.140625" style="10" customWidth="1"/>
    <col min="6" max="6" width="9.28515625" style="13" bestFit="1" customWidth="1"/>
    <col min="7" max="7" width="55.7109375" style="10" bestFit="1" customWidth="1"/>
    <col min="8" max="8" width="60" style="10" customWidth="1"/>
    <col min="9" max="16384" width="9.140625" style="10"/>
  </cols>
  <sheetData>
    <row r="1" spans="1:8" ht="79.5" customHeight="1" x14ac:dyDescent="0.25">
      <c r="A1" s="19" t="s">
        <v>18</v>
      </c>
    </row>
    <row r="3" spans="1:8" s="9" customFormat="1" x14ac:dyDescent="0.25">
      <c r="A3" s="11" t="s">
        <v>19</v>
      </c>
      <c r="B3" s="11" t="s">
        <v>20</v>
      </c>
      <c r="C3" s="11" t="s">
        <v>21</v>
      </c>
      <c r="D3" s="11" t="s">
        <v>22</v>
      </c>
      <c r="E3" s="11" t="s">
        <v>23</v>
      </c>
      <c r="F3" s="12" t="s">
        <v>24</v>
      </c>
      <c r="G3" s="11" t="s">
        <v>25</v>
      </c>
      <c r="H3" s="14" t="s">
        <v>26</v>
      </c>
    </row>
    <row r="4" spans="1:8" ht="78" customHeight="1" x14ac:dyDescent="0.25">
      <c r="A4" s="9" t="s">
        <v>27</v>
      </c>
      <c r="B4" s="10" t="s">
        <v>28</v>
      </c>
      <c r="C4" s="10" t="s">
        <v>29</v>
      </c>
      <c r="D4" s="10" t="s">
        <v>30</v>
      </c>
      <c r="F4" s="22" t="b">
        <v>1</v>
      </c>
      <c r="G4" s="16" t="s">
        <v>211</v>
      </c>
    </row>
    <row r="5" spans="1:8" ht="30" x14ac:dyDescent="0.25">
      <c r="A5" s="9" t="s">
        <v>31</v>
      </c>
      <c r="B5" s="10" t="s">
        <v>32</v>
      </c>
      <c r="C5" s="10" t="s">
        <v>33</v>
      </c>
      <c r="D5" s="10" t="s">
        <v>34</v>
      </c>
      <c r="F5" s="23" t="b">
        <v>1</v>
      </c>
      <c r="G5" s="17" t="s">
        <v>35</v>
      </c>
    </row>
    <row r="6" spans="1:8" ht="30" x14ac:dyDescent="0.25">
      <c r="A6" s="9" t="s">
        <v>36</v>
      </c>
      <c r="B6" s="10" t="s">
        <v>37</v>
      </c>
      <c r="C6" s="10" t="s">
        <v>38</v>
      </c>
      <c r="D6" s="10" t="s">
        <v>34</v>
      </c>
      <c r="F6" s="23" t="b">
        <v>1</v>
      </c>
      <c r="G6" s="17" t="s">
        <v>39</v>
      </c>
    </row>
    <row r="7" spans="1:8" ht="45" x14ac:dyDescent="0.25">
      <c r="A7" s="9" t="s">
        <v>40</v>
      </c>
      <c r="B7" s="10" t="s">
        <v>41</v>
      </c>
      <c r="C7" s="10" t="s">
        <v>42</v>
      </c>
      <c r="D7" s="10" t="s">
        <v>34</v>
      </c>
      <c r="E7" s="10" t="s">
        <v>43</v>
      </c>
      <c r="F7" s="23" t="b">
        <v>1</v>
      </c>
      <c r="G7" s="17" t="s">
        <v>44</v>
      </c>
    </row>
    <row r="8" spans="1:8" ht="30" x14ac:dyDescent="0.25">
      <c r="A8" s="9" t="s">
        <v>45</v>
      </c>
      <c r="B8" s="10" t="s">
        <v>46</v>
      </c>
      <c r="C8" s="10" t="s">
        <v>47</v>
      </c>
      <c r="D8" s="10" t="s">
        <v>34</v>
      </c>
      <c r="F8" s="23" t="b">
        <v>1</v>
      </c>
      <c r="G8" s="17" t="s">
        <v>48</v>
      </c>
    </row>
    <row r="9" spans="1:8" ht="30" x14ac:dyDescent="0.25">
      <c r="A9" s="9" t="s">
        <v>49</v>
      </c>
      <c r="B9" s="10" t="s">
        <v>50</v>
      </c>
      <c r="C9" s="10" t="s">
        <v>51</v>
      </c>
      <c r="D9" s="10" t="s">
        <v>34</v>
      </c>
      <c r="F9" s="23" t="b">
        <v>1</v>
      </c>
      <c r="G9" s="10" t="s">
        <v>52</v>
      </c>
    </row>
    <row r="10" spans="1:8" ht="30" x14ac:dyDescent="0.25">
      <c r="A10" s="9" t="s">
        <v>53</v>
      </c>
      <c r="B10" s="10" t="s">
        <v>54</v>
      </c>
      <c r="C10" s="10" t="s">
        <v>55</v>
      </c>
      <c r="D10" s="10" t="s">
        <v>34</v>
      </c>
      <c r="F10" s="23" t="b">
        <v>1</v>
      </c>
      <c r="G10" s="10" t="s">
        <v>56</v>
      </c>
    </row>
    <row r="11" spans="1:8" ht="60" x14ac:dyDescent="0.25">
      <c r="A11" s="9" t="s">
        <v>57</v>
      </c>
      <c r="B11" s="10" t="s">
        <v>58</v>
      </c>
      <c r="C11" s="10" t="s">
        <v>59</v>
      </c>
      <c r="D11" s="10" t="s">
        <v>34</v>
      </c>
      <c r="F11" s="21"/>
      <c r="G11" s="17" t="s">
        <v>60</v>
      </c>
    </row>
    <row r="12" spans="1:8" x14ac:dyDescent="0.25">
      <c r="A12" s="9" t="s">
        <v>61</v>
      </c>
      <c r="B12" s="10" t="s">
        <v>62</v>
      </c>
      <c r="C12" s="10" t="s">
        <v>63</v>
      </c>
      <c r="D12" s="10" t="s">
        <v>64</v>
      </c>
      <c r="E12" s="10" t="s">
        <v>65</v>
      </c>
      <c r="F12" s="23" t="b">
        <v>1</v>
      </c>
      <c r="G12" s="10" t="s">
        <v>66</v>
      </c>
    </row>
    <row r="13" spans="1:8" x14ac:dyDescent="0.25">
      <c r="A13" s="9" t="s">
        <v>67</v>
      </c>
      <c r="B13" s="10" t="s">
        <v>68</v>
      </c>
      <c r="C13" s="10" t="s">
        <v>69</v>
      </c>
      <c r="D13" s="10" t="s">
        <v>30</v>
      </c>
      <c r="E13" s="10" t="s">
        <v>70</v>
      </c>
      <c r="F13" s="23" t="b">
        <v>1</v>
      </c>
    </row>
    <row r="14" spans="1:8" ht="18" customHeight="1" x14ac:dyDescent="0.25">
      <c r="A14" s="9" t="s">
        <v>71</v>
      </c>
      <c r="B14" s="10" t="s">
        <v>72</v>
      </c>
      <c r="C14" s="10" t="s">
        <v>73</v>
      </c>
      <c r="D14" s="10" t="s">
        <v>30</v>
      </c>
      <c r="E14" s="10" t="s">
        <v>74</v>
      </c>
      <c r="F14" s="23" t="b">
        <v>1</v>
      </c>
    </row>
    <row r="15" spans="1:8" ht="33" customHeight="1" x14ac:dyDescent="0.25">
      <c r="A15" s="9" t="s">
        <v>75</v>
      </c>
      <c r="B15" s="10" t="s">
        <v>76</v>
      </c>
      <c r="C15" s="10" t="s">
        <v>77</v>
      </c>
      <c r="D15" s="10" t="s">
        <v>34</v>
      </c>
      <c r="F15" s="21"/>
      <c r="G15" s="17" t="s">
        <v>78</v>
      </c>
    </row>
    <row r="16" spans="1:8" x14ac:dyDescent="0.25">
      <c r="A16" s="9" t="s">
        <v>79</v>
      </c>
      <c r="B16" s="10" t="s">
        <v>80</v>
      </c>
      <c r="C16" s="10" t="s">
        <v>81</v>
      </c>
      <c r="D16" s="10" t="s">
        <v>30</v>
      </c>
      <c r="F16" s="23" t="b">
        <v>1</v>
      </c>
      <c r="G16" s="10" t="s">
        <v>82</v>
      </c>
    </row>
    <row r="17" spans="1:7" ht="30" x14ac:dyDescent="0.25">
      <c r="A17" s="9" t="s">
        <v>83</v>
      </c>
      <c r="B17" s="10" t="s">
        <v>84</v>
      </c>
      <c r="C17" s="10" t="s">
        <v>85</v>
      </c>
      <c r="D17" s="10" t="s">
        <v>34</v>
      </c>
      <c r="F17" s="21"/>
      <c r="G17" s="17" t="s">
        <v>39</v>
      </c>
    </row>
    <row r="18" spans="1:7" ht="30" x14ac:dyDescent="0.25">
      <c r="A18" s="9" t="s">
        <v>86</v>
      </c>
      <c r="B18" s="10" t="s">
        <v>87</v>
      </c>
      <c r="C18" s="10" t="s">
        <v>88</v>
      </c>
      <c r="D18" s="10" t="s">
        <v>30</v>
      </c>
      <c r="F18" s="23" t="b">
        <v>1</v>
      </c>
      <c r="G18" s="20" t="s">
        <v>89</v>
      </c>
    </row>
    <row r="19" spans="1:7" ht="60" x14ac:dyDescent="0.25">
      <c r="A19" s="9" t="s">
        <v>90</v>
      </c>
      <c r="B19" s="10" t="s">
        <v>91</v>
      </c>
      <c r="C19" s="10" t="s">
        <v>92</v>
      </c>
      <c r="D19" s="10" t="s">
        <v>30</v>
      </c>
      <c r="F19" s="21"/>
      <c r="G19" s="17" t="s">
        <v>93</v>
      </c>
    </row>
    <row r="20" spans="1:7" ht="45" x14ac:dyDescent="0.25">
      <c r="A20" s="9" t="s">
        <v>94</v>
      </c>
      <c r="B20" s="10" t="s">
        <v>95</v>
      </c>
      <c r="C20" s="10" t="s">
        <v>96</v>
      </c>
      <c r="D20" s="10" t="s">
        <v>34</v>
      </c>
      <c r="F20" s="21"/>
      <c r="G20" s="20" t="s">
        <v>97</v>
      </c>
    </row>
    <row r="21" spans="1:7" ht="60" x14ac:dyDescent="0.25">
      <c r="A21" s="9" t="s">
        <v>98</v>
      </c>
      <c r="B21" s="10" t="s">
        <v>99</v>
      </c>
      <c r="C21" s="10" t="s">
        <v>100</v>
      </c>
      <c r="D21" s="10" t="s">
        <v>34</v>
      </c>
      <c r="E21" s="10" t="s">
        <v>101</v>
      </c>
      <c r="F21" s="23" t="b">
        <v>1</v>
      </c>
      <c r="G21" s="9" t="s">
        <v>102</v>
      </c>
    </row>
    <row r="22" spans="1:7" ht="90" x14ac:dyDescent="0.25">
      <c r="A22" s="9" t="s">
        <v>103</v>
      </c>
      <c r="B22" s="10" t="s">
        <v>104</v>
      </c>
      <c r="C22" s="10" t="s">
        <v>105</v>
      </c>
      <c r="D22" s="10" t="s">
        <v>34</v>
      </c>
      <c r="E22" s="10" t="s">
        <v>106</v>
      </c>
      <c r="F22" s="23" t="b">
        <v>1</v>
      </c>
      <c r="G22" s="17" t="s">
        <v>107</v>
      </c>
    </row>
    <row r="23" spans="1:7" ht="123" customHeight="1" x14ac:dyDescent="0.25">
      <c r="A23" s="9" t="s">
        <v>108</v>
      </c>
      <c r="B23" s="10" t="s">
        <v>109</v>
      </c>
      <c r="C23" s="10" t="s">
        <v>108</v>
      </c>
      <c r="D23" s="10" t="s">
        <v>110</v>
      </c>
      <c r="F23" s="22"/>
      <c r="G23" s="17" t="s">
        <v>210</v>
      </c>
    </row>
    <row r="24" spans="1:7" ht="30" x14ac:dyDescent="0.25">
      <c r="A24" s="9" t="s">
        <v>111</v>
      </c>
      <c r="B24" s="10" t="s">
        <v>112</v>
      </c>
      <c r="C24" s="10" t="s">
        <v>113</v>
      </c>
      <c r="D24" s="10" t="s">
        <v>110</v>
      </c>
      <c r="F24" s="22"/>
      <c r="G24" s="10" t="s">
        <v>114</v>
      </c>
    </row>
    <row r="25" spans="1:7" ht="30" x14ac:dyDescent="0.25">
      <c r="A25" s="9" t="s">
        <v>115</v>
      </c>
      <c r="B25" s="10" t="s">
        <v>116</v>
      </c>
      <c r="C25" s="10" t="s">
        <v>117</v>
      </c>
      <c r="D25" s="10" t="s">
        <v>110</v>
      </c>
      <c r="F25" s="22"/>
      <c r="G25" s="10" t="s">
        <v>114</v>
      </c>
    </row>
    <row r="26" spans="1:7" ht="30" x14ac:dyDescent="0.25">
      <c r="A26" s="9" t="s">
        <v>118</v>
      </c>
      <c r="B26" s="10" t="s">
        <v>119</v>
      </c>
      <c r="C26" s="10" t="s">
        <v>120</v>
      </c>
      <c r="D26" s="10" t="s">
        <v>110</v>
      </c>
      <c r="F26" s="22"/>
      <c r="G26" s="10" t="s">
        <v>114</v>
      </c>
    </row>
    <row r="27" spans="1:7" ht="30" x14ac:dyDescent="0.25">
      <c r="A27" s="9" t="s">
        <v>121</v>
      </c>
      <c r="B27" s="10" t="s">
        <v>122</v>
      </c>
      <c r="C27" s="10" t="s">
        <v>123</v>
      </c>
      <c r="D27" s="10" t="s">
        <v>110</v>
      </c>
      <c r="F27" s="22"/>
      <c r="G27" s="10" t="s">
        <v>114</v>
      </c>
    </row>
    <row r="28" spans="1:7" ht="30" x14ac:dyDescent="0.25">
      <c r="A28" s="9" t="s">
        <v>124</v>
      </c>
      <c r="B28" s="10" t="s">
        <v>125</v>
      </c>
      <c r="C28" s="10" t="s">
        <v>126</v>
      </c>
      <c r="D28" s="10" t="s">
        <v>110</v>
      </c>
      <c r="F28" s="22"/>
      <c r="G28" s="10" t="s">
        <v>114</v>
      </c>
    </row>
    <row r="29" spans="1:7" ht="30" x14ac:dyDescent="0.25">
      <c r="A29" s="9" t="s">
        <v>127</v>
      </c>
      <c r="B29" s="10" t="s">
        <v>128</v>
      </c>
      <c r="C29" s="10" t="s">
        <v>129</v>
      </c>
      <c r="D29" s="10" t="s">
        <v>110</v>
      </c>
      <c r="F29" s="22"/>
      <c r="G29" s="10" t="s">
        <v>114</v>
      </c>
    </row>
    <row r="30" spans="1:7" x14ac:dyDescent="0.25">
      <c r="A30" s="9" t="s">
        <v>130</v>
      </c>
      <c r="B30" s="10" t="s">
        <v>131</v>
      </c>
      <c r="C30" s="10" t="s">
        <v>132</v>
      </c>
      <c r="D30" s="10" t="s">
        <v>34</v>
      </c>
      <c r="E30" s="10" t="s">
        <v>133</v>
      </c>
      <c r="F30" s="23" t="b">
        <v>1</v>
      </c>
      <c r="G30" s="9" t="s">
        <v>102</v>
      </c>
    </row>
    <row r="31" spans="1:7" ht="198" customHeight="1" x14ac:dyDescent="0.25">
      <c r="A31" s="9" t="s">
        <v>134</v>
      </c>
      <c r="B31" s="10" t="s">
        <v>135</v>
      </c>
      <c r="C31" s="10" t="s">
        <v>136</v>
      </c>
      <c r="D31" s="10" t="s">
        <v>135</v>
      </c>
      <c r="F31" s="23" t="b">
        <v>1</v>
      </c>
      <c r="G31" s="17" t="s">
        <v>137</v>
      </c>
    </row>
    <row r="32" spans="1:7" ht="30" x14ac:dyDescent="0.25">
      <c r="A32" s="9" t="s">
        <v>138</v>
      </c>
      <c r="B32" s="10" t="s">
        <v>139</v>
      </c>
      <c r="C32" s="10" t="s">
        <v>140</v>
      </c>
      <c r="D32" s="10" t="s">
        <v>141</v>
      </c>
      <c r="F32" s="21"/>
      <c r="G32" s="10" t="s">
        <v>142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60065-A5B7-4ABE-AB14-81E4D23A2A4B}">
  <sheetPr>
    <tabColor rgb="FF00B0F0"/>
  </sheetPr>
  <dimension ref="A1:I32"/>
  <sheetViews>
    <sheetView tabSelected="1" workbookViewId="0">
      <selection activeCell="C36" sqref="C36"/>
    </sheetView>
  </sheetViews>
  <sheetFormatPr defaultColWidth="9.140625" defaultRowHeight="15" x14ac:dyDescent="0.25"/>
  <cols>
    <col min="1" max="1" width="39.42578125" style="9" customWidth="1"/>
    <col min="2" max="3" width="38.140625" style="10" customWidth="1"/>
    <col min="4" max="4" width="47.5703125" style="10" customWidth="1"/>
    <col min="5" max="5" width="21.140625" style="10" customWidth="1"/>
    <col min="6" max="6" width="35.140625" style="10" customWidth="1"/>
    <col min="7" max="7" width="9.28515625" style="13" bestFit="1" customWidth="1"/>
    <col min="8" max="8" width="55.7109375" style="10" bestFit="1" customWidth="1"/>
    <col min="9" max="9" width="60" style="10" customWidth="1"/>
    <col min="10" max="16384" width="9.140625" style="10"/>
  </cols>
  <sheetData>
    <row r="1" spans="1:9" ht="79.5" customHeight="1" x14ac:dyDescent="0.25">
      <c r="A1" s="19" t="s">
        <v>18</v>
      </c>
    </row>
    <row r="3" spans="1:9" s="9" customFormat="1" x14ac:dyDescent="0.25">
      <c r="A3" s="11" t="s">
        <v>19</v>
      </c>
      <c r="B3" s="11" t="s">
        <v>20</v>
      </c>
      <c r="C3" s="11" t="s">
        <v>212</v>
      </c>
      <c r="D3" s="11" t="s">
        <v>21</v>
      </c>
      <c r="E3" s="11" t="s">
        <v>22</v>
      </c>
      <c r="F3" s="11" t="s">
        <v>23</v>
      </c>
      <c r="G3" s="12" t="s">
        <v>24</v>
      </c>
      <c r="H3" s="11" t="s">
        <v>25</v>
      </c>
      <c r="I3" s="14" t="s">
        <v>26</v>
      </c>
    </row>
    <row r="4" spans="1:9" ht="78" customHeight="1" x14ac:dyDescent="0.25">
      <c r="A4" s="9" t="s">
        <v>27</v>
      </c>
      <c r="B4" s="10" t="s">
        <v>28</v>
      </c>
      <c r="D4" s="10" t="s">
        <v>29</v>
      </c>
      <c r="E4" s="10" t="s">
        <v>30</v>
      </c>
      <c r="G4" s="22" t="b">
        <v>1</v>
      </c>
      <c r="H4" s="16" t="s">
        <v>211</v>
      </c>
    </row>
    <row r="5" spans="1:9" ht="30" x14ac:dyDescent="0.25">
      <c r="A5" s="9" t="s">
        <v>31</v>
      </c>
      <c r="B5" s="10" t="s">
        <v>32</v>
      </c>
      <c r="C5" s="10" t="s">
        <v>217</v>
      </c>
      <c r="D5" s="10" t="s">
        <v>33</v>
      </c>
      <c r="E5" s="10" t="s">
        <v>34</v>
      </c>
      <c r="G5" s="23" t="b">
        <v>1</v>
      </c>
      <c r="H5" s="17" t="s">
        <v>35</v>
      </c>
    </row>
    <row r="6" spans="1:9" ht="60" x14ac:dyDescent="0.25">
      <c r="A6" s="9" t="s">
        <v>36</v>
      </c>
      <c r="B6" s="10" t="s">
        <v>37</v>
      </c>
      <c r="C6" s="10" t="s">
        <v>234</v>
      </c>
      <c r="D6" s="10" t="s">
        <v>38</v>
      </c>
      <c r="E6" s="10" t="s">
        <v>34</v>
      </c>
      <c r="G6" s="23" t="b">
        <v>1</v>
      </c>
      <c r="H6" s="17" t="s">
        <v>39</v>
      </c>
    </row>
    <row r="7" spans="1:9" ht="45" x14ac:dyDescent="0.25">
      <c r="A7" s="9" t="s">
        <v>40</v>
      </c>
      <c r="B7" s="10" t="s">
        <v>41</v>
      </c>
      <c r="C7" s="10" t="s">
        <v>215</v>
      </c>
      <c r="D7" s="10" t="s">
        <v>42</v>
      </c>
      <c r="E7" s="10" t="s">
        <v>34</v>
      </c>
      <c r="F7" s="10" t="s">
        <v>43</v>
      </c>
      <c r="G7" s="23" t="b">
        <v>1</v>
      </c>
      <c r="H7" s="17" t="s">
        <v>44</v>
      </c>
    </row>
    <row r="8" spans="1:9" ht="30" x14ac:dyDescent="0.25">
      <c r="A8" s="9" t="s">
        <v>45</v>
      </c>
      <c r="B8" s="10" t="s">
        <v>46</v>
      </c>
      <c r="C8" s="10" t="s">
        <v>229</v>
      </c>
      <c r="D8" s="10" t="s">
        <v>47</v>
      </c>
      <c r="E8" s="10" t="s">
        <v>34</v>
      </c>
      <c r="G8" s="23" t="b">
        <v>1</v>
      </c>
      <c r="H8" s="17" t="s">
        <v>48</v>
      </c>
    </row>
    <row r="9" spans="1:9" ht="30" x14ac:dyDescent="0.25">
      <c r="A9" s="9" t="s">
        <v>49</v>
      </c>
      <c r="B9" s="10" t="s">
        <v>50</v>
      </c>
      <c r="C9" s="25" t="s">
        <v>230</v>
      </c>
      <c r="D9" s="10" t="s">
        <v>51</v>
      </c>
      <c r="E9" s="10" t="s">
        <v>34</v>
      </c>
      <c r="G9" s="23" t="b">
        <v>1</v>
      </c>
      <c r="H9" s="10" t="s">
        <v>52</v>
      </c>
    </row>
    <row r="10" spans="1:9" ht="30" x14ac:dyDescent="0.25">
      <c r="A10" s="9" t="s">
        <v>53</v>
      </c>
      <c r="B10" s="10" t="s">
        <v>54</v>
      </c>
      <c r="C10" s="10" t="s">
        <v>231</v>
      </c>
      <c r="D10" s="10" t="s">
        <v>55</v>
      </c>
      <c r="E10" s="10" t="s">
        <v>34</v>
      </c>
      <c r="G10" s="23" t="b">
        <v>1</v>
      </c>
      <c r="H10" s="10" t="s">
        <v>56</v>
      </c>
    </row>
    <row r="11" spans="1:9" ht="60" x14ac:dyDescent="0.25">
      <c r="A11" s="9" t="s">
        <v>57</v>
      </c>
      <c r="B11" s="10" t="s">
        <v>58</v>
      </c>
      <c r="C11" s="10" t="s">
        <v>232</v>
      </c>
      <c r="D11" s="10" t="s">
        <v>59</v>
      </c>
      <c r="E11" s="10" t="s">
        <v>34</v>
      </c>
      <c r="G11" s="21"/>
      <c r="H11" s="17" t="s">
        <v>60</v>
      </c>
    </row>
    <row r="12" spans="1:9" x14ac:dyDescent="0.25">
      <c r="A12" s="9" t="s">
        <v>61</v>
      </c>
      <c r="B12" s="10" t="s">
        <v>62</v>
      </c>
      <c r="C12" s="10" t="b">
        <v>1</v>
      </c>
      <c r="D12" s="10" t="s">
        <v>63</v>
      </c>
      <c r="E12" s="10" t="s">
        <v>64</v>
      </c>
      <c r="F12" s="10" t="s">
        <v>65</v>
      </c>
      <c r="G12" s="23" t="b">
        <v>1</v>
      </c>
      <c r="H12" s="10" t="s">
        <v>66</v>
      </c>
    </row>
    <row r="13" spans="1:9" x14ac:dyDescent="0.25">
      <c r="A13" s="9" t="s">
        <v>67</v>
      </c>
      <c r="B13" s="10" t="s">
        <v>68</v>
      </c>
      <c r="C13" s="10">
        <v>2019</v>
      </c>
      <c r="D13" s="10" t="s">
        <v>69</v>
      </c>
      <c r="E13" s="10" t="s">
        <v>30</v>
      </c>
      <c r="F13" s="10" t="s">
        <v>70</v>
      </c>
      <c r="G13" s="23" t="b">
        <v>1</v>
      </c>
    </row>
    <row r="14" spans="1:9" ht="18" customHeight="1" x14ac:dyDescent="0.25">
      <c r="A14" s="9" t="s">
        <v>71</v>
      </c>
      <c r="B14" s="10" t="s">
        <v>72</v>
      </c>
      <c r="C14" s="10">
        <v>2023</v>
      </c>
      <c r="D14" s="10" t="s">
        <v>73</v>
      </c>
      <c r="E14" s="10" t="s">
        <v>30</v>
      </c>
      <c r="F14" s="10" t="s">
        <v>74</v>
      </c>
      <c r="G14" s="23" t="b">
        <v>1</v>
      </c>
    </row>
    <row r="15" spans="1:9" ht="33" customHeight="1" x14ac:dyDescent="0.25">
      <c r="A15" s="9" t="s">
        <v>75</v>
      </c>
      <c r="B15" s="10" t="s">
        <v>76</v>
      </c>
      <c r="C15" s="10" t="s">
        <v>226</v>
      </c>
      <c r="D15" s="10" t="s">
        <v>77</v>
      </c>
      <c r="E15" s="10" t="s">
        <v>34</v>
      </c>
      <c r="G15" s="21"/>
      <c r="H15" s="17" t="s">
        <v>78</v>
      </c>
    </row>
    <row r="16" spans="1:9" x14ac:dyDescent="0.25">
      <c r="A16" s="9" t="s">
        <v>79</v>
      </c>
      <c r="B16" s="10" t="s">
        <v>80</v>
      </c>
      <c r="C16" s="26">
        <v>12000000</v>
      </c>
      <c r="D16" s="10" t="s">
        <v>81</v>
      </c>
      <c r="E16" s="10" t="s">
        <v>30</v>
      </c>
      <c r="G16" s="23" t="b">
        <v>1</v>
      </c>
      <c r="H16" s="10" t="s">
        <v>82</v>
      </c>
    </row>
    <row r="17" spans="1:8" ht="30" x14ac:dyDescent="0.25">
      <c r="A17" s="9" t="s">
        <v>83</v>
      </c>
      <c r="B17" s="10" t="s">
        <v>84</v>
      </c>
      <c r="D17" s="10" t="s">
        <v>85</v>
      </c>
      <c r="E17" s="10" t="s">
        <v>34</v>
      </c>
      <c r="G17" s="21"/>
      <c r="H17" s="17" t="s">
        <v>39</v>
      </c>
    </row>
    <row r="18" spans="1:8" ht="30" x14ac:dyDescent="0.25">
      <c r="A18" s="9" t="s">
        <v>86</v>
      </c>
      <c r="B18" s="10" t="s">
        <v>87</v>
      </c>
      <c r="C18" s="26">
        <v>12000000</v>
      </c>
      <c r="D18" s="10" t="s">
        <v>88</v>
      </c>
      <c r="E18" s="10" t="s">
        <v>30</v>
      </c>
      <c r="G18" s="23" t="b">
        <v>1</v>
      </c>
      <c r="H18" s="20" t="s">
        <v>89</v>
      </c>
    </row>
    <row r="19" spans="1:8" ht="60" x14ac:dyDescent="0.25">
      <c r="A19" s="9" t="s">
        <v>90</v>
      </c>
      <c r="B19" s="10" t="s">
        <v>91</v>
      </c>
      <c r="D19" s="10" t="s">
        <v>92</v>
      </c>
      <c r="E19" s="10" t="s">
        <v>30</v>
      </c>
      <c r="G19" s="21"/>
      <c r="H19" s="17" t="s">
        <v>93</v>
      </c>
    </row>
    <row r="20" spans="1:8" ht="45" x14ac:dyDescent="0.25">
      <c r="A20" s="9" t="s">
        <v>94</v>
      </c>
      <c r="B20" s="10" t="s">
        <v>95</v>
      </c>
      <c r="C20" s="10" t="s">
        <v>233</v>
      </c>
      <c r="D20" s="10" t="s">
        <v>96</v>
      </c>
      <c r="E20" s="10" t="s">
        <v>34</v>
      </c>
      <c r="G20" s="21"/>
      <c r="H20" s="20" t="s">
        <v>97</v>
      </c>
    </row>
    <row r="21" spans="1:8" ht="60" x14ac:dyDescent="0.25">
      <c r="A21" s="9" t="s">
        <v>98</v>
      </c>
      <c r="B21" s="10" t="s">
        <v>99</v>
      </c>
      <c r="C21" s="10" t="s">
        <v>214</v>
      </c>
      <c r="D21" s="10" t="s">
        <v>100</v>
      </c>
      <c r="E21" s="10" t="s">
        <v>34</v>
      </c>
      <c r="F21" s="10" t="s">
        <v>101</v>
      </c>
      <c r="G21" s="23" t="b">
        <v>1</v>
      </c>
      <c r="H21" s="9" t="s">
        <v>102</v>
      </c>
    </row>
    <row r="22" spans="1:8" ht="90" x14ac:dyDescent="0.25">
      <c r="A22" s="9" t="s">
        <v>103</v>
      </c>
      <c r="B22" s="10" t="s">
        <v>104</v>
      </c>
      <c r="C22" s="10" t="s">
        <v>224</v>
      </c>
      <c r="D22" s="10" t="s">
        <v>105</v>
      </c>
      <c r="E22" s="10" t="s">
        <v>34</v>
      </c>
      <c r="F22" s="10" t="s">
        <v>106</v>
      </c>
      <c r="G22" s="23" t="b">
        <v>1</v>
      </c>
      <c r="H22" s="17" t="s">
        <v>107</v>
      </c>
    </row>
    <row r="23" spans="1:8" ht="123" customHeight="1" x14ac:dyDescent="0.25">
      <c r="A23" s="9" t="s">
        <v>108</v>
      </c>
      <c r="B23" s="10" t="s">
        <v>109</v>
      </c>
      <c r="D23" s="10" t="s">
        <v>108</v>
      </c>
      <c r="E23" s="10" t="s">
        <v>110</v>
      </c>
      <c r="G23" s="22"/>
      <c r="H23" s="17" t="s">
        <v>210</v>
      </c>
    </row>
    <row r="24" spans="1:8" ht="30" x14ac:dyDescent="0.25">
      <c r="A24" s="9" t="s">
        <v>111</v>
      </c>
      <c r="B24" s="10" t="s">
        <v>112</v>
      </c>
      <c r="D24" s="10" t="s">
        <v>113</v>
      </c>
      <c r="E24" s="10" t="s">
        <v>110</v>
      </c>
      <c r="G24" s="22"/>
      <c r="H24" s="10" t="s">
        <v>114</v>
      </c>
    </row>
    <row r="25" spans="1:8" ht="30" x14ac:dyDescent="0.25">
      <c r="A25" s="9" t="s">
        <v>115</v>
      </c>
      <c r="B25" s="10" t="s">
        <v>116</v>
      </c>
      <c r="D25" s="10" t="s">
        <v>117</v>
      </c>
      <c r="E25" s="10" t="s">
        <v>110</v>
      </c>
      <c r="G25" s="22"/>
      <c r="H25" s="10" t="s">
        <v>114</v>
      </c>
    </row>
    <row r="26" spans="1:8" ht="30" x14ac:dyDescent="0.25">
      <c r="A26" s="9" t="s">
        <v>118</v>
      </c>
      <c r="B26" s="10" t="s">
        <v>119</v>
      </c>
      <c r="D26" s="10" t="s">
        <v>120</v>
      </c>
      <c r="E26" s="10" t="s">
        <v>110</v>
      </c>
      <c r="G26" s="22"/>
      <c r="H26" s="10" t="s">
        <v>114</v>
      </c>
    </row>
    <row r="27" spans="1:8" ht="30" x14ac:dyDescent="0.25">
      <c r="A27" s="9" t="s">
        <v>121</v>
      </c>
      <c r="B27" s="10" t="s">
        <v>122</v>
      </c>
      <c r="D27" s="10" t="s">
        <v>123</v>
      </c>
      <c r="E27" s="10" t="s">
        <v>110</v>
      </c>
      <c r="G27" s="22"/>
      <c r="H27" s="10" t="s">
        <v>114</v>
      </c>
    </row>
    <row r="28" spans="1:8" ht="30" x14ac:dyDescent="0.25">
      <c r="A28" s="9" t="s">
        <v>124</v>
      </c>
      <c r="B28" s="10" t="s">
        <v>125</v>
      </c>
      <c r="D28" s="10" t="s">
        <v>126</v>
      </c>
      <c r="E28" s="10" t="s">
        <v>110</v>
      </c>
      <c r="G28" s="22"/>
      <c r="H28" s="10" t="s">
        <v>114</v>
      </c>
    </row>
    <row r="29" spans="1:8" ht="30" x14ac:dyDescent="0.25">
      <c r="A29" s="9" t="s">
        <v>127</v>
      </c>
      <c r="B29" s="10" t="s">
        <v>128</v>
      </c>
      <c r="D29" s="10" t="s">
        <v>129</v>
      </c>
      <c r="E29" s="10" t="s">
        <v>110</v>
      </c>
      <c r="G29" s="22"/>
      <c r="H29" s="10" t="s">
        <v>114</v>
      </c>
    </row>
    <row r="30" spans="1:8" x14ac:dyDescent="0.25">
      <c r="A30" s="9" t="s">
        <v>130</v>
      </c>
      <c r="B30" s="10" t="s">
        <v>131</v>
      </c>
      <c r="C30" s="10" t="s">
        <v>221</v>
      </c>
      <c r="D30" s="10" t="s">
        <v>132</v>
      </c>
      <c r="E30" s="10" t="s">
        <v>34</v>
      </c>
      <c r="F30" s="10" t="s">
        <v>133</v>
      </c>
      <c r="G30" s="23" t="b">
        <v>1</v>
      </c>
      <c r="H30" s="9" t="s">
        <v>102</v>
      </c>
    </row>
    <row r="31" spans="1:8" ht="198" customHeight="1" x14ac:dyDescent="0.25">
      <c r="A31" s="9" t="s">
        <v>134</v>
      </c>
      <c r="B31" s="10" t="s">
        <v>135</v>
      </c>
      <c r="C31" s="10" t="s">
        <v>216</v>
      </c>
      <c r="D31" s="10" t="s">
        <v>136</v>
      </c>
      <c r="E31" s="10" t="s">
        <v>135</v>
      </c>
      <c r="G31" s="23" t="b">
        <v>1</v>
      </c>
      <c r="H31" s="17" t="s">
        <v>137</v>
      </c>
    </row>
    <row r="32" spans="1:8" ht="30" x14ac:dyDescent="0.25">
      <c r="A32" s="9" t="s">
        <v>138</v>
      </c>
      <c r="B32" s="10" t="s">
        <v>139</v>
      </c>
      <c r="C32" s="24">
        <v>46162</v>
      </c>
      <c r="D32" s="10" t="s">
        <v>140</v>
      </c>
      <c r="E32" s="10" t="s">
        <v>141</v>
      </c>
      <c r="G32" s="21"/>
      <c r="H32" s="10" t="s">
        <v>142</v>
      </c>
    </row>
  </sheetData>
  <hyperlinks>
    <hyperlink ref="C9" r:id="rId1" xr:uid="{48E5EBCB-CD38-4C4F-A20E-A84F5DB61F6B}"/>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CA4107-DD29-4F5A-9633-0599456FF528}">
  <sheetPr>
    <tabColor rgb="FF00B0F0"/>
  </sheetPr>
  <dimension ref="A1:I32"/>
  <sheetViews>
    <sheetView topLeftCell="A26" workbookViewId="0">
      <selection activeCell="C34" sqref="C34"/>
    </sheetView>
  </sheetViews>
  <sheetFormatPr defaultColWidth="9.140625" defaultRowHeight="15" x14ac:dyDescent="0.25"/>
  <cols>
    <col min="1" max="1" width="39.42578125" style="9" customWidth="1"/>
    <col min="2" max="3" width="38.140625" style="10" customWidth="1"/>
    <col min="4" max="4" width="47.5703125" style="10" customWidth="1"/>
    <col min="5" max="5" width="21.140625" style="10" customWidth="1"/>
    <col min="6" max="6" width="35.140625" style="10" customWidth="1"/>
    <col min="7" max="7" width="9.28515625" style="13" bestFit="1" customWidth="1"/>
    <col min="8" max="8" width="55.7109375" style="10" bestFit="1" customWidth="1"/>
    <col min="9" max="9" width="60" style="10" customWidth="1"/>
    <col min="10" max="16384" width="9.140625" style="10"/>
  </cols>
  <sheetData>
    <row r="1" spans="1:9" ht="79.5" customHeight="1" x14ac:dyDescent="0.25">
      <c r="A1" s="19" t="s">
        <v>18</v>
      </c>
    </row>
    <row r="3" spans="1:9" s="9" customFormat="1" x14ac:dyDescent="0.25">
      <c r="A3" s="11" t="s">
        <v>19</v>
      </c>
      <c r="B3" s="11" t="s">
        <v>20</v>
      </c>
      <c r="C3" s="11" t="s">
        <v>212</v>
      </c>
      <c r="D3" s="11" t="s">
        <v>21</v>
      </c>
      <c r="E3" s="11" t="s">
        <v>22</v>
      </c>
      <c r="F3" s="11" t="s">
        <v>23</v>
      </c>
      <c r="G3" s="12" t="s">
        <v>24</v>
      </c>
      <c r="H3" s="11" t="s">
        <v>25</v>
      </c>
      <c r="I3" s="14" t="s">
        <v>26</v>
      </c>
    </row>
    <row r="4" spans="1:9" ht="78" customHeight="1" x14ac:dyDescent="0.25">
      <c r="A4" s="9" t="s">
        <v>27</v>
      </c>
      <c r="B4" s="10" t="s">
        <v>28</v>
      </c>
      <c r="D4" s="10" t="s">
        <v>29</v>
      </c>
      <c r="E4" s="10" t="s">
        <v>30</v>
      </c>
      <c r="G4" s="22" t="b">
        <v>1</v>
      </c>
      <c r="H4" s="16" t="s">
        <v>211</v>
      </c>
    </row>
    <row r="5" spans="1:9" ht="30" x14ac:dyDescent="0.25">
      <c r="A5" s="9" t="s">
        <v>31</v>
      </c>
      <c r="B5" s="10" t="s">
        <v>32</v>
      </c>
      <c r="C5" s="10" t="s">
        <v>220</v>
      </c>
      <c r="D5" s="10" t="s">
        <v>33</v>
      </c>
      <c r="E5" s="10" t="s">
        <v>34</v>
      </c>
      <c r="G5" s="23" t="b">
        <v>1</v>
      </c>
      <c r="H5" s="17" t="s">
        <v>35</v>
      </c>
    </row>
    <row r="6" spans="1:9" ht="45" x14ac:dyDescent="0.25">
      <c r="A6" s="9" t="s">
        <v>36</v>
      </c>
      <c r="B6" s="10" t="s">
        <v>37</v>
      </c>
      <c r="C6" s="10" t="s">
        <v>225</v>
      </c>
      <c r="D6" s="10" t="s">
        <v>38</v>
      </c>
      <c r="E6" s="10" t="s">
        <v>34</v>
      </c>
      <c r="G6" s="23" t="b">
        <v>1</v>
      </c>
      <c r="H6" s="17" t="s">
        <v>39</v>
      </c>
    </row>
    <row r="7" spans="1:9" ht="45" x14ac:dyDescent="0.25">
      <c r="A7" s="9" t="s">
        <v>40</v>
      </c>
      <c r="B7" s="10" t="s">
        <v>41</v>
      </c>
      <c r="C7" s="10" t="s">
        <v>215</v>
      </c>
      <c r="D7" s="10" t="s">
        <v>42</v>
      </c>
      <c r="E7" s="10" t="s">
        <v>34</v>
      </c>
      <c r="F7" s="10" t="s">
        <v>43</v>
      </c>
      <c r="G7" s="23" t="b">
        <v>1</v>
      </c>
      <c r="H7" s="17" t="s">
        <v>44</v>
      </c>
    </row>
    <row r="8" spans="1:9" ht="30" x14ac:dyDescent="0.25">
      <c r="A8" s="9" t="s">
        <v>45</v>
      </c>
      <c r="B8" s="10" t="s">
        <v>46</v>
      </c>
      <c r="C8" s="10" t="s">
        <v>236</v>
      </c>
      <c r="D8" s="10" t="s">
        <v>47</v>
      </c>
      <c r="E8" s="10" t="s">
        <v>34</v>
      </c>
      <c r="G8" s="23" t="b">
        <v>1</v>
      </c>
      <c r="H8" s="17" t="s">
        <v>48</v>
      </c>
    </row>
    <row r="9" spans="1:9" ht="30" x14ac:dyDescent="0.25">
      <c r="A9" s="9" t="s">
        <v>49</v>
      </c>
      <c r="B9" s="10" t="s">
        <v>50</v>
      </c>
      <c r="C9" s="10" t="s">
        <v>237</v>
      </c>
      <c r="D9" s="10" t="s">
        <v>51</v>
      </c>
      <c r="E9" s="10" t="s">
        <v>34</v>
      </c>
      <c r="G9" s="23" t="b">
        <v>1</v>
      </c>
      <c r="H9" s="10" t="s">
        <v>52</v>
      </c>
    </row>
    <row r="10" spans="1:9" ht="30" x14ac:dyDescent="0.25">
      <c r="A10" s="9" t="s">
        <v>53</v>
      </c>
      <c r="B10" s="10" t="s">
        <v>54</v>
      </c>
      <c r="C10" s="10" t="s">
        <v>235</v>
      </c>
      <c r="D10" s="10" t="s">
        <v>55</v>
      </c>
      <c r="E10" s="10" t="s">
        <v>34</v>
      </c>
      <c r="G10" s="23" t="b">
        <v>1</v>
      </c>
      <c r="H10" s="10" t="s">
        <v>56</v>
      </c>
    </row>
    <row r="11" spans="1:9" ht="60" x14ac:dyDescent="0.25">
      <c r="A11" s="9" t="s">
        <v>57</v>
      </c>
      <c r="B11" s="10" t="s">
        <v>58</v>
      </c>
      <c r="C11" s="10" t="s">
        <v>240</v>
      </c>
      <c r="D11" s="10" t="s">
        <v>59</v>
      </c>
      <c r="E11" s="10" t="s">
        <v>34</v>
      </c>
      <c r="G11" s="21"/>
      <c r="H11" s="17" t="s">
        <v>60</v>
      </c>
    </row>
    <row r="12" spans="1:9" x14ac:dyDescent="0.25">
      <c r="A12" s="9" t="s">
        <v>61</v>
      </c>
      <c r="B12" s="10" t="s">
        <v>62</v>
      </c>
      <c r="C12" s="10" t="b">
        <v>1</v>
      </c>
      <c r="D12" s="10" t="s">
        <v>63</v>
      </c>
      <c r="E12" s="10" t="s">
        <v>64</v>
      </c>
      <c r="F12" s="10" t="s">
        <v>65</v>
      </c>
      <c r="G12" s="23" t="b">
        <v>1</v>
      </c>
      <c r="H12" s="10" t="s">
        <v>66</v>
      </c>
    </row>
    <row r="13" spans="1:9" x14ac:dyDescent="0.25">
      <c r="A13" s="9" t="s">
        <v>67</v>
      </c>
      <c r="B13" s="10" t="s">
        <v>68</v>
      </c>
      <c r="C13" s="10">
        <v>2022</v>
      </c>
      <c r="D13" s="10" t="s">
        <v>69</v>
      </c>
      <c r="E13" s="10" t="s">
        <v>30</v>
      </c>
      <c r="F13" s="10" t="s">
        <v>70</v>
      </c>
      <c r="G13" s="23" t="b">
        <v>1</v>
      </c>
    </row>
    <row r="14" spans="1:9" ht="18" customHeight="1" x14ac:dyDescent="0.25">
      <c r="A14" s="9" t="s">
        <v>71</v>
      </c>
      <c r="B14" s="10" t="s">
        <v>72</v>
      </c>
      <c r="C14" s="10">
        <v>2022</v>
      </c>
      <c r="D14" s="10" t="s">
        <v>73</v>
      </c>
      <c r="E14" s="10" t="s">
        <v>30</v>
      </c>
      <c r="F14" s="10" t="s">
        <v>74</v>
      </c>
      <c r="G14" s="23" t="b">
        <v>1</v>
      </c>
    </row>
    <row r="15" spans="1:9" ht="33" customHeight="1" x14ac:dyDescent="0.25">
      <c r="A15" s="9" t="s">
        <v>75</v>
      </c>
      <c r="B15" s="10" t="s">
        <v>76</v>
      </c>
      <c r="C15" s="10" t="s">
        <v>226</v>
      </c>
      <c r="D15" s="10" t="s">
        <v>77</v>
      </c>
      <c r="E15" s="10" t="s">
        <v>34</v>
      </c>
      <c r="G15" s="21"/>
      <c r="H15" s="17" t="s">
        <v>78</v>
      </c>
    </row>
    <row r="16" spans="1:9" x14ac:dyDescent="0.25">
      <c r="A16" s="9" t="s">
        <v>79</v>
      </c>
      <c r="B16" s="10" t="s">
        <v>80</v>
      </c>
      <c r="C16" s="10">
        <f>428084+1800000+500000</f>
        <v>2728084</v>
      </c>
      <c r="D16" s="10" t="s">
        <v>81</v>
      </c>
      <c r="E16" s="10" t="s">
        <v>30</v>
      </c>
      <c r="G16" s="23" t="b">
        <v>1</v>
      </c>
      <c r="H16" s="10" t="s">
        <v>82</v>
      </c>
    </row>
    <row r="17" spans="1:8" ht="45" x14ac:dyDescent="0.25">
      <c r="A17" s="9" t="s">
        <v>83</v>
      </c>
      <c r="B17" s="10" t="s">
        <v>84</v>
      </c>
      <c r="C17" s="10" t="s">
        <v>227</v>
      </c>
      <c r="D17" s="10" t="s">
        <v>85</v>
      </c>
      <c r="E17" s="10" t="s">
        <v>34</v>
      </c>
      <c r="G17" s="21"/>
      <c r="H17" s="17" t="s">
        <v>39</v>
      </c>
    </row>
    <row r="18" spans="1:8" ht="30" x14ac:dyDescent="0.25">
      <c r="A18" s="9" t="s">
        <v>86</v>
      </c>
      <c r="B18" s="10" t="s">
        <v>87</v>
      </c>
      <c r="C18" s="10">
        <f>428084+1800000+500000</f>
        <v>2728084</v>
      </c>
      <c r="D18" s="10" t="s">
        <v>88</v>
      </c>
      <c r="E18" s="10" t="s">
        <v>30</v>
      </c>
      <c r="G18" s="23" t="b">
        <v>1</v>
      </c>
      <c r="H18" s="20" t="s">
        <v>89</v>
      </c>
    </row>
    <row r="19" spans="1:8" ht="60" x14ac:dyDescent="0.25">
      <c r="A19" s="9" t="s">
        <v>90</v>
      </c>
      <c r="B19" s="10" t="s">
        <v>91</v>
      </c>
      <c r="C19" s="10">
        <v>0</v>
      </c>
      <c r="D19" s="10" t="s">
        <v>92</v>
      </c>
      <c r="E19" s="10" t="s">
        <v>30</v>
      </c>
      <c r="G19" s="21"/>
      <c r="H19" s="17" t="s">
        <v>93</v>
      </c>
    </row>
    <row r="20" spans="1:8" ht="45" x14ac:dyDescent="0.25">
      <c r="A20" s="9" t="s">
        <v>94</v>
      </c>
      <c r="B20" s="10" t="s">
        <v>95</v>
      </c>
      <c r="C20" s="27" t="s">
        <v>228</v>
      </c>
      <c r="D20" s="10" t="s">
        <v>96</v>
      </c>
      <c r="E20" s="10" t="s">
        <v>34</v>
      </c>
      <c r="G20" s="21"/>
      <c r="H20" s="20" t="s">
        <v>97</v>
      </c>
    </row>
    <row r="21" spans="1:8" ht="60" x14ac:dyDescent="0.25">
      <c r="A21" s="9" t="s">
        <v>98</v>
      </c>
      <c r="B21" s="10" t="s">
        <v>99</v>
      </c>
      <c r="C21" s="10" t="s">
        <v>214</v>
      </c>
      <c r="D21" s="10" t="s">
        <v>100</v>
      </c>
      <c r="E21" s="10" t="s">
        <v>34</v>
      </c>
      <c r="F21" s="10" t="s">
        <v>101</v>
      </c>
      <c r="G21" s="23" t="b">
        <v>1</v>
      </c>
      <c r="H21" s="9" t="s">
        <v>102</v>
      </c>
    </row>
    <row r="22" spans="1:8" ht="90" x14ac:dyDescent="0.25">
      <c r="A22" s="9" t="s">
        <v>103</v>
      </c>
      <c r="B22" s="10" t="s">
        <v>104</v>
      </c>
      <c r="C22" s="10" t="s">
        <v>224</v>
      </c>
      <c r="D22" s="10" t="s">
        <v>105</v>
      </c>
      <c r="E22" s="10" t="s">
        <v>34</v>
      </c>
      <c r="F22" s="10" t="s">
        <v>106</v>
      </c>
      <c r="G22" s="23" t="b">
        <v>1</v>
      </c>
      <c r="H22" s="17" t="s">
        <v>107</v>
      </c>
    </row>
    <row r="23" spans="1:8" ht="123" customHeight="1" x14ac:dyDescent="0.25">
      <c r="A23" s="9" t="s">
        <v>108</v>
      </c>
      <c r="B23" s="10" t="s">
        <v>109</v>
      </c>
      <c r="D23" s="10" t="s">
        <v>108</v>
      </c>
      <c r="E23" s="10" t="s">
        <v>110</v>
      </c>
      <c r="G23" s="22"/>
      <c r="H23" s="17" t="s">
        <v>210</v>
      </c>
    </row>
    <row r="24" spans="1:8" ht="30" x14ac:dyDescent="0.25">
      <c r="A24" s="9" t="s">
        <v>111</v>
      </c>
      <c r="B24" s="10" t="s">
        <v>112</v>
      </c>
      <c r="D24" s="10" t="s">
        <v>113</v>
      </c>
      <c r="E24" s="10" t="s">
        <v>110</v>
      </c>
      <c r="G24" s="22"/>
      <c r="H24" s="10" t="s">
        <v>114</v>
      </c>
    </row>
    <row r="25" spans="1:8" ht="30" x14ac:dyDescent="0.25">
      <c r="A25" s="9" t="s">
        <v>115</v>
      </c>
      <c r="B25" s="10" t="s">
        <v>116</v>
      </c>
      <c r="D25" s="10" t="s">
        <v>117</v>
      </c>
      <c r="E25" s="10" t="s">
        <v>110</v>
      </c>
      <c r="G25" s="22"/>
      <c r="H25" s="10" t="s">
        <v>114</v>
      </c>
    </row>
    <row r="26" spans="1:8" ht="30" x14ac:dyDescent="0.25">
      <c r="A26" s="9" t="s">
        <v>118</v>
      </c>
      <c r="B26" s="10" t="s">
        <v>119</v>
      </c>
      <c r="D26" s="10" t="s">
        <v>120</v>
      </c>
      <c r="E26" s="10" t="s">
        <v>110</v>
      </c>
      <c r="G26" s="22"/>
      <c r="H26" s="10" t="s">
        <v>114</v>
      </c>
    </row>
    <row r="27" spans="1:8" ht="30" x14ac:dyDescent="0.25">
      <c r="A27" s="9" t="s">
        <v>121</v>
      </c>
      <c r="B27" s="10" t="s">
        <v>122</v>
      </c>
      <c r="D27" s="10" t="s">
        <v>123</v>
      </c>
      <c r="E27" s="10" t="s">
        <v>110</v>
      </c>
      <c r="G27" s="22"/>
      <c r="H27" s="10" t="s">
        <v>114</v>
      </c>
    </row>
    <row r="28" spans="1:8" ht="30" x14ac:dyDescent="0.25">
      <c r="A28" s="9" t="s">
        <v>124</v>
      </c>
      <c r="B28" s="10" t="s">
        <v>125</v>
      </c>
      <c r="D28" s="10" t="s">
        <v>126</v>
      </c>
      <c r="E28" s="10" t="s">
        <v>110</v>
      </c>
      <c r="G28" s="22"/>
      <c r="H28" s="10" t="s">
        <v>114</v>
      </c>
    </row>
    <row r="29" spans="1:8" ht="30" x14ac:dyDescent="0.25">
      <c r="A29" s="9" t="s">
        <v>127</v>
      </c>
      <c r="B29" s="10" t="s">
        <v>128</v>
      </c>
      <c r="D29" s="10" t="s">
        <v>129</v>
      </c>
      <c r="E29" s="10" t="s">
        <v>110</v>
      </c>
      <c r="G29" s="22"/>
      <c r="H29" s="10" t="s">
        <v>114</v>
      </c>
    </row>
    <row r="30" spans="1:8" x14ac:dyDescent="0.25">
      <c r="A30" s="9" t="s">
        <v>130</v>
      </c>
      <c r="B30" s="10" t="s">
        <v>131</v>
      </c>
      <c r="C30" s="10" t="s">
        <v>221</v>
      </c>
      <c r="D30" s="10" t="s">
        <v>132</v>
      </c>
      <c r="E30" s="10" t="s">
        <v>34</v>
      </c>
      <c r="F30" s="10" t="s">
        <v>133</v>
      </c>
      <c r="G30" s="23" t="b">
        <v>1</v>
      </c>
      <c r="H30" s="9" t="s">
        <v>102</v>
      </c>
    </row>
    <row r="31" spans="1:8" ht="198" customHeight="1" x14ac:dyDescent="0.25">
      <c r="A31" s="9" t="s">
        <v>134</v>
      </c>
      <c r="B31" s="10" t="s">
        <v>135</v>
      </c>
      <c r="C31" s="10" t="s">
        <v>216</v>
      </c>
      <c r="D31" s="10" t="s">
        <v>136</v>
      </c>
      <c r="E31" s="10" t="s">
        <v>135</v>
      </c>
      <c r="G31" s="23" t="b">
        <v>1</v>
      </c>
      <c r="H31" s="17" t="s">
        <v>137</v>
      </c>
    </row>
    <row r="32" spans="1:8" ht="30" x14ac:dyDescent="0.25">
      <c r="A32" s="9" t="s">
        <v>138</v>
      </c>
      <c r="B32" s="10" t="s">
        <v>139</v>
      </c>
      <c r="C32" s="24">
        <v>46164</v>
      </c>
      <c r="D32" s="10" t="s">
        <v>140</v>
      </c>
      <c r="E32" s="10" t="s">
        <v>141</v>
      </c>
      <c r="G32" s="21"/>
      <c r="H32" s="10" t="s">
        <v>142</v>
      </c>
    </row>
  </sheetData>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7A6ED6-1DB0-4711-ACE8-F76C81288CD0}">
  <sheetPr>
    <tabColor rgb="FF00B0F0"/>
  </sheetPr>
  <dimension ref="A1:I32"/>
  <sheetViews>
    <sheetView workbookViewId="0">
      <selection activeCell="C19" sqref="C19"/>
    </sheetView>
  </sheetViews>
  <sheetFormatPr defaultColWidth="9.140625" defaultRowHeight="15" x14ac:dyDescent="0.25"/>
  <cols>
    <col min="1" max="1" width="39.42578125" style="9" customWidth="1"/>
    <col min="2" max="3" width="38.140625" style="10" customWidth="1"/>
    <col min="4" max="4" width="47.5703125" style="10" customWidth="1"/>
    <col min="5" max="5" width="21.140625" style="10" customWidth="1"/>
    <col min="6" max="6" width="35.140625" style="10" customWidth="1"/>
    <col min="7" max="7" width="9.28515625" style="13" bestFit="1" customWidth="1"/>
    <col min="8" max="8" width="55.7109375" style="10" bestFit="1" customWidth="1"/>
    <col min="9" max="9" width="60" style="10" customWidth="1"/>
    <col min="10" max="16384" width="9.140625" style="10"/>
  </cols>
  <sheetData>
    <row r="1" spans="1:9" ht="79.5" customHeight="1" x14ac:dyDescent="0.25">
      <c r="A1" s="19" t="s">
        <v>18</v>
      </c>
    </row>
    <row r="3" spans="1:9" s="9" customFormat="1" x14ac:dyDescent="0.25">
      <c r="A3" s="11" t="s">
        <v>19</v>
      </c>
      <c r="B3" s="11" t="s">
        <v>20</v>
      </c>
      <c r="C3" s="11" t="s">
        <v>212</v>
      </c>
      <c r="D3" s="11" t="s">
        <v>21</v>
      </c>
      <c r="E3" s="11" t="s">
        <v>22</v>
      </c>
      <c r="F3" s="11" t="s">
        <v>23</v>
      </c>
      <c r="G3" s="12" t="s">
        <v>24</v>
      </c>
      <c r="H3" s="11" t="s">
        <v>25</v>
      </c>
      <c r="I3" s="14" t="s">
        <v>26</v>
      </c>
    </row>
    <row r="4" spans="1:9" ht="78" customHeight="1" x14ac:dyDescent="0.25">
      <c r="A4" s="9" t="s">
        <v>27</v>
      </c>
      <c r="B4" s="10" t="s">
        <v>28</v>
      </c>
      <c r="D4" s="10" t="s">
        <v>29</v>
      </c>
      <c r="E4" s="10" t="s">
        <v>30</v>
      </c>
      <c r="G4" s="22" t="b">
        <v>1</v>
      </c>
      <c r="H4" s="16" t="s">
        <v>211</v>
      </c>
    </row>
    <row r="5" spans="1:9" ht="30" x14ac:dyDescent="0.25">
      <c r="A5" s="9" t="s">
        <v>31</v>
      </c>
      <c r="B5" s="10" t="s">
        <v>32</v>
      </c>
      <c r="C5" s="10" t="s">
        <v>219</v>
      </c>
      <c r="D5" s="10" t="s">
        <v>33</v>
      </c>
      <c r="E5" s="10" t="s">
        <v>34</v>
      </c>
      <c r="G5" s="23" t="b">
        <v>1</v>
      </c>
      <c r="H5" s="17" t="s">
        <v>35</v>
      </c>
    </row>
    <row r="6" spans="1:9" ht="45" x14ac:dyDescent="0.25">
      <c r="A6" s="9" t="s">
        <v>36</v>
      </c>
      <c r="B6" s="10" t="s">
        <v>37</v>
      </c>
      <c r="C6" s="10" t="s">
        <v>225</v>
      </c>
      <c r="D6" s="10" t="s">
        <v>38</v>
      </c>
      <c r="E6" s="10" t="s">
        <v>34</v>
      </c>
      <c r="G6" s="23" t="b">
        <v>1</v>
      </c>
      <c r="H6" s="17" t="s">
        <v>39</v>
      </c>
    </row>
    <row r="7" spans="1:9" ht="45" x14ac:dyDescent="0.25">
      <c r="A7" s="9" t="s">
        <v>40</v>
      </c>
      <c r="B7" s="10" t="s">
        <v>41</v>
      </c>
      <c r="C7" s="27" t="s">
        <v>223</v>
      </c>
      <c r="D7" s="10" t="s">
        <v>42</v>
      </c>
      <c r="E7" s="10" t="s">
        <v>34</v>
      </c>
      <c r="F7" s="10" t="s">
        <v>43</v>
      </c>
      <c r="G7" s="23" t="b">
        <v>1</v>
      </c>
      <c r="H7" s="17" t="s">
        <v>44</v>
      </c>
    </row>
    <row r="8" spans="1:9" ht="30" x14ac:dyDescent="0.25">
      <c r="A8" s="9" t="s">
        <v>45</v>
      </c>
      <c r="B8" s="10" t="s">
        <v>46</v>
      </c>
      <c r="C8" s="27" t="s">
        <v>236</v>
      </c>
      <c r="D8" s="10" t="s">
        <v>47</v>
      </c>
      <c r="E8" s="10" t="s">
        <v>34</v>
      </c>
      <c r="G8" s="23" t="b">
        <v>1</v>
      </c>
      <c r="H8" s="17" t="s">
        <v>48</v>
      </c>
    </row>
    <row r="9" spans="1:9" ht="30" x14ac:dyDescent="0.25">
      <c r="A9" s="9" t="s">
        <v>49</v>
      </c>
      <c r="B9" s="10" t="s">
        <v>50</v>
      </c>
      <c r="C9" s="27" t="s">
        <v>237</v>
      </c>
      <c r="D9" s="10" t="s">
        <v>51</v>
      </c>
      <c r="E9" s="10" t="s">
        <v>34</v>
      </c>
      <c r="G9" s="23" t="b">
        <v>1</v>
      </c>
      <c r="H9" s="10" t="s">
        <v>52</v>
      </c>
    </row>
    <row r="10" spans="1:9" ht="30" x14ac:dyDescent="0.25">
      <c r="A10" s="9" t="s">
        <v>53</v>
      </c>
      <c r="B10" s="10" t="s">
        <v>54</v>
      </c>
      <c r="C10" s="27" t="s">
        <v>235</v>
      </c>
      <c r="D10" s="10" t="s">
        <v>55</v>
      </c>
      <c r="E10" s="10" t="s">
        <v>34</v>
      </c>
      <c r="G10" s="23" t="b">
        <v>1</v>
      </c>
      <c r="H10" s="10" t="s">
        <v>56</v>
      </c>
    </row>
    <row r="11" spans="1:9" ht="60" x14ac:dyDescent="0.25">
      <c r="A11" s="9" t="s">
        <v>57</v>
      </c>
      <c r="B11" s="10" t="s">
        <v>58</v>
      </c>
      <c r="C11" s="27" t="s">
        <v>242</v>
      </c>
      <c r="D11" s="10" t="s">
        <v>59</v>
      </c>
      <c r="E11" s="10" t="s">
        <v>34</v>
      </c>
      <c r="G11" s="21"/>
      <c r="H11" s="17" t="s">
        <v>60</v>
      </c>
    </row>
    <row r="12" spans="1:9" x14ac:dyDescent="0.25">
      <c r="A12" s="9" t="s">
        <v>61</v>
      </c>
      <c r="B12" s="10" t="s">
        <v>62</v>
      </c>
      <c r="C12" s="27" t="b">
        <v>1</v>
      </c>
      <c r="D12" s="10" t="s">
        <v>63</v>
      </c>
      <c r="E12" s="10" t="s">
        <v>64</v>
      </c>
      <c r="F12" s="10" t="s">
        <v>65</v>
      </c>
      <c r="G12" s="23" t="b">
        <v>1</v>
      </c>
      <c r="H12" s="10" t="s">
        <v>66</v>
      </c>
    </row>
    <row r="13" spans="1:9" x14ac:dyDescent="0.25">
      <c r="A13" s="9" t="s">
        <v>67</v>
      </c>
      <c r="B13" s="10" t="s">
        <v>68</v>
      </c>
      <c r="C13" s="27">
        <v>2026</v>
      </c>
      <c r="D13" s="10" t="s">
        <v>69</v>
      </c>
      <c r="E13" s="10" t="s">
        <v>30</v>
      </c>
      <c r="F13" s="10" t="s">
        <v>70</v>
      </c>
      <c r="G13" s="23" t="b">
        <v>1</v>
      </c>
    </row>
    <row r="14" spans="1:9" ht="18" customHeight="1" x14ac:dyDescent="0.25">
      <c r="A14" s="9" t="s">
        <v>71</v>
      </c>
      <c r="B14" s="10" t="s">
        <v>72</v>
      </c>
      <c r="C14" s="27">
        <v>2026</v>
      </c>
      <c r="D14" s="10" t="s">
        <v>73</v>
      </c>
      <c r="E14" s="10" t="s">
        <v>30</v>
      </c>
      <c r="F14" s="10" t="s">
        <v>74</v>
      </c>
      <c r="G14" s="23" t="b">
        <v>1</v>
      </c>
    </row>
    <row r="15" spans="1:9" ht="33" customHeight="1" x14ac:dyDescent="0.25">
      <c r="A15" s="9" t="s">
        <v>75</v>
      </c>
      <c r="B15" s="10" t="s">
        <v>76</v>
      </c>
      <c r="C15" s="27" t="s">
        <v>222</v>
      </c>
      <c r="D15" s="10" t="s">
        <v>77</v>
      </c>
      <c r="E15" s="10" t="s">
        <v>34</v>
      </c>
      <c r="G15" s="21"/>
      <c r="H15" s="17" t="s">
        <v>78</v>
      </c>
    </row>
    <row r="16" spans="1:9" x14ac:dyDescent="0.25">
      <c r="A16" s="9" t="s">
        <v>79</v>
      </c>
      <c r="B16" s="10" t="s">
        <v>80</v>
      </c>
      <c r="C16" s="27">
        <f>(28886.62+400613.44)+550000</f>
        <v>979500.06</v>
      </c>
      <c r="D16" s="10" t="s">
        <v>81</v>
      </c>
      <c r="E16" s="10" t="s">
        <v>30</v>
      </c>
      <c r="G16" s="23" t="b">
        <v>1</v>
      </c>
      <c r="H16" s="10" t="s">
        <v>82</v>
      </c>
    </row>
    <row r="17" spans="1:8" ht="30" x14ac:dyDescent="0.25">
      <c r="A17" s="9" t="s">
        <v>83</v>
      </c>
      <c r="B17" s="10" t="s">
        <v>84</v>
      </c>
      <c r="C17" s="27" t="s">
        <v>244</v>
      </c>
      <c r="D17" s="10" t="s">
        <v>85</v>
      </c>
      <c r="E17" s="10" t="s">
        <v>34</v>
      </c>
      <c r="G17" s="21"/>
      <c r="H17" s="17" t="s">
        <v>39</v>
      </c>
    </row>
    <row r="18" spans="1:8" ht="30" x14ac:dyDescent="0.25">
      <c r="A18" s="9" t="s">
        <v>86</v>
      </c>
      <c r="B18" s="10" t="s">
        <v>87</v>
      </c>
      <c r="C18" s="27">
        <f>(28886.62+400613.44)+550000</f>
        <v>979500.06</v>
      </c>
      <c r="D18" s="10" t="s">
        <v>88</v>
      </c>
      <c r="E18" s="10" t="s">
        <v>30</v>
      </c>
      <c r="G18" s="23" t="b">
        <v>1</v>
      </c>
      <c r="H18" s="20" t="s">
        <v>89</v>
      </c>
    </row>
    <row r="19" spans="1:8" ht="60" x14ac:dyDescent="0.25">
      <c r="A19" s="9" t="s">
        <v>90</v>
      </c>
      <c r="B19" s="10" t="s">
        <v>91</v>
      </c>
      <c r="C19" s="27">
        <v>0</v>
      </c>
      <c r="D19" s="10" t="s">
        <v>92</v>
      </c>
      <c r="E19" s="10" t="s">
        <v>30</v>
      </c>
      <c r="G19" s="21"/>
      <c r="H19" s="17" t="s">
        <v>93</v>
      </c>
    </row>
    <row r="20" spans="1:8" ht="60" x14ac:dyDescent="0.25">
      <c r="A20" s="9" t="s">
        <v>94</v>
      </c>
      <c r="B20" s="10" t="s">
        <v>95</v>
      </c>
      <c r="C20" s="27" t="s">
        <v>246</v>
      </c>
      <c r="D20" s="10" t="s">
        <v>96</v>
      </c>
      <c r="E20" s="10" t="s">
        <v>34</v>
      </c>
      <c r="G20" s="21"/>
      <c r="H20" s="20" t="s">
        <v>97</v>
      </c>
    </row>
    <row r="21" spans="1:8" ht="60" x14ac:dyDescent="0.25">
      <c r="A21" s="9" t="s">
        <v>98</v>
      </c>
      <c r="B21" s="10" t="s">
        <v>99</v>
      </c>
      <c r="C21" s="27" t="s">
        <v>214</v>
      </c>
      <c r="D21" s="10" t="s">
        <v>100</v>
      </c>
      <c r="E21" s="10" t="s">
        <v>34</v>
      </c>
      <c r="F21" s="10" t="s">
        <v>101</v>
      </c>
      <c r="G21" s="23" t="b">
        <v>1</v>
      </c>
      <c r="H21" s="9" t="s">
        <v>102</v>
      </c>
    </row>
    <row r="22" spans="1:8" ht="90" x14ac:dyDescent="0.25">
      <c r="A22" s="9" t="s">
        <v>103</v>
      </c>
      <c r="B22" s="10" t="s">
        <v>104</v>
      </c>
      <c r="C22" s="27" t="s">
        <v>224</v>
      </c>
      <c r="D22" s="10" t="s">
        <v>105</v>
      </c>
      <c r="E22" s="10" t="s">
        <v>34</v>
      </c>
      <c r="F22" s="10" t="s">
        <v>106</v>
      </c>
      <c r="G22" s="23" t="b">
        <v>1</v>
      </c>
      <c r="H22" s="17" t="s">
        <v>107</v>
      </c>
    </row>
    <row r="23" spans="1:8" ht="123" customHeight="1" x14ac:dyDescent="0.25">
      <c r="A23" s="9" t="s">
        <v>108</v>
      </c>
      <c r="B23" s="10" t="s">
        <v>109</v>
      </c>
      <c r="C23" s="27"/>
      <c r="D23" s="10" t="s">
        <v>108</v>
      </c>
      <c r="E23" s="10" t="s">
        <v>110</v>
      </c>
      <c r="G23" s="22"/>
      <c r="H23" s="17" t="s">
        <v>210</v>
      </c>
    </row>
    <row r="24" spans="1:8" ht="30" x14ac:dyDescent="0.25">
      <c r="A24" s="9" t="s">
        <v>111</v>
      </c>
      <c r="B24" s="10" t="s">
        <v>112</v>
      </c>
      <c r="C24" s="27"/>
      <c r="D24" s="10" t="s">
        <v>113</v>
      </c>
      <c r="E24" s="10" t="s">
        <v>110</v>
      </c>
      <c r="G24" s="22"/>
      <c r="H24" s="10" t="s">
        <v>114</v>
      </c>
    </row>
    <row r="25" spans="1:8" ht="30" x14ac:dyDescent="0.25">
      <c r="A25" s="9" t="s">
        <v>115</v>
      </c>
      <c r="B25" s="10" t="s">
        <v>116</v>
      </c>
      <c r="C25" s="27"/>
      <c r="D25" s="10" t="s">
        <v>117</v>
      </c>
      <c r="E25" s="10" t="s">
        <v>110</v>
      </c>
      <c r="G25" s="22"/>
      <c r="H25" s="10" t="s">
        <v>114</v>
      </c>
    </row>
    <row r="26" spans="1:8" ht="30" x14ac:dyDescent="0.25">
      <c r="A26" s="9" t="s">
        <v>118</v>
      </c>
      <c r="B26" s="10" t="s">
        <v>119</v>
      </c>
      <c r="C26" s="27"/>
      <c r="D26" s="10" t="s">
        <v>120</v>
      </c>
      <c r="E26" s="10" t="s">
        <v>110</v>
      </c>
      <c r="G26" s="22"/>
      <c r="H26" s="10" t="s">
        <v>114</v>
      </c>
    </row>
    <row r="27" spans="1:8" ht="30" x14ac:dyDescent="0.25">
      <c r="A27" s="9" t="s">
        <v>121</v>
      </c>
      <c r="B27" s="10" t="s">
        <v>122</v>
      </c>
      <c r="C27" s="27"/>
      <c r="D27" s="10" t="s">
        <v>123</v>
      </c>
      <c r="E27" s="10" t="s">
        <v>110</v>
      </c>
      <c r="G27" s="22"/>
      <c r="H27" s="10" t="s">
        <v>114</v>
      </c>
    </row>
    <row r="28" spans="1:8" ht="30" x14ac:dyDescent="0.25">
      <c r="A28" s="9" t="s">
        <v>124</v>
      </c>
      <c r="B28" s="10" t="s">
        <v>125</v>
      </c>
      <c r="C28" s="27"/>
      <c r="D28" s="10" t="s">
        <v>126</v>
      </c>
      <c r="E28" s="10" t="s">
        <v>110</v>
      </c>
      <c r="G28" s="22"/>
      <c r="H28" s="10" t="s">
        <v>114</v>
      </c>
    </row>
    <row r="29" spans="1:8" ht="30" x14ac:dyDescent="0.25">
      <c r="A29" s="9" t="s">
        <v>127</v>
      </c>
      <c r="B29" s="10" t="s">
        <v>128</v>
      </c>
      <c r="C29" s="27"/>
      <c r="D29" s="10" t="s">
        <v>129</v>
      </c>
      <c r="E29" s="10" t="s">
        <v>110</v>
      </c>
      <c r="G29" s="22"/>
      <c r="H29" s="10" t="s">
        <v>114</v>
      </c>
    </row>
    <row r="30" spans="1:8" x14ac:dyDescent="0.25">
      <c r="A30" s="9" t="s">
        <v>130</v>
      </c>
      <c r="B30" s="10" t="s">
        <v>131</v>
      </c>
      <c r="C30" s="27" t="s">
        <v>221</v>
      </c>
      <c r="D30" s="10" t="s">
        <v>132</v>
      </c>
      <c r="E30" s="10" t="s">
        <v>34</v>
      </c>
      <c r="F30" s="10" t="s">
        <v>133</v>
      </c>
      <c r="G30" s="23" t="b">
        <v>1</v>
      </c>
      <c r="H30" s="9" t="s">
        <v>102</v>
      </c>
    </row>
    <row r="31" spans="1:8" ht="198" customHeight="1" x14ac:dyDescent="0.25">
      <c r="A31" s="9" t="s">
        <v>134</v>
      </c>
      <c r="B31" s="10" t="s">
        <v>135</v>
      </c>
      <c r="C31" s="27" t="s">
        <v>216</v>
      </c>
      <c r="D31" s="10" t="s">
        <v>136</v>
      </c>
      <c r="E31" s="10" t="s">
        <v>135</v>
      </c>
      <c r="G31" s="23" t="b">
        <v>1</v>
      </c>
      <c r="H31" s="17" t="s">
        <v>137</v>
      </c>
    </row>
    <row r="32" spans="1:8" ht="30" x14ac:dyDescent="0.25">
      <c r="A32" s="9" t="s">
        <v>138</v>
      </c>
      <c r="B32" s="10" t="s">
        <v>139</v>
      </c>
      <c r="C32" s="24">
        <v>46164</v>
      </c>
      <c r="D32" s="10" t="s">
        <v>140</v>
      </c>
      <c r="E32" s="10" t="s">
        <v>141</v>
      </c>
      <c r="G32" s="21"/>
      <c r="H32" s="10" t="s">
        <v>142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7CEE1F-72AC-4707-9C08-1837A88204ED}">
  <sheetPr>
    <tabColor rgb="FF00B0F0"/>
  </sheetPr>
  <dimension ref="A1:I32"/>
  <sheetViews>
    <sheetView workbookViewId="0">
      <selection activeCell="D14" sqref="D14"/>
    </sheetView>
  </sheetViews>
  <sheetFormatPr defaultColWidth="9.140625" defaultRowHeight="15" x14ac:dyDescent="0.25"/>
  <cols>
    <col min="1" max="1" width="39.42578125" style="9" customWidth="1"/>
    <col min="2" max="2" width="28.85546875" style="10" customWidth="1"/>
    <col min="3" max="3" width="23.5703125" style="27" customWidth="1"/>
    <col min="4" max="4" width="47.5703125" style="10" customWidth="1"/>
    <col min="5" max="5" width="21.140625" style="10" customWidth="1"/>
    <col min="6" max="6" width="35.140625" style="10" customWidth="1"/>
    <col min="7" max="7" width="9.28515625" style="13" bestFit="1" customWidth="1"/>
    <col min="8" max="8" width="55.7109375" style="10" bestFit="1" customWidth="1"/>
    <col min="9" max="9" width="60" style="10" customWidth="1"/>
    <col min="10" max="16384" width="9.140625" style="10"/>
  </cols>
  <sheetData>
    <row r="1" spans="1:9" ht="79.5" customHeight="1" x14ac:dyDescent="0.25">
      <c r="A1" s="19" t="s">
        <v>18</v>
      </c>
      <c r="C1" s="10"/>
    </row>
    <row r="3" spans="1:9" s="9" customFormat="1" x14ac:dyDescent="0.25">
      <c r="A3" s="11" t="s">
        <v>19</v>
      </c>
      <c r="B3" s="11" t="s">
        <v>20</v>
      </c>
      <c r="C3" s="11" t="s">
        <v>212</v>
      </c>
      <c r="D3" s="11" t="s">
        <v>21</v>
      </c>
      <c r="E3" s="11" t="s">
        <v>22</v>
      </c>
      <c r="F3" s="11" t="s">
        <v>23</v>
      </c>
      <c r="G3" s="12" t="s">
        <v>24</v>
      </c>
      <c r="H3" s="11" t="s">
        <v>25</v>
      </c>
      <c r="I3" s="14" t="s">
        <v>26</v>
      </c>
    </row>
    <row r="4" spans="1:9" ht="78" customHeight="1" x14ac:dyDescent="0.25">
      <c r="A4" s="9" t="s">
        <v>27</v>
      </c>
      <c r="B4" s="10" t="s">
        <v>28</v>
      </c>
      <c r="D4" s="10" t="s">
        <v>29</v>
      </c>
      <c r="E4" s="10" t="s">
        <v>30</v>
      </c>
      <c r="G4" s="22" t="b">
        <v>1</v>
      </c>
      <c r="H4" s="16" t="s">
        <v>211</v>
      </c>
    </row>
    <row r="5" spans="1:9" ht="30" x14ac:dyDescent="0.25">
      <c r="A5" s="9" t="s">
        <v>31</v>
      </c>
      <c r="B5" s="10" t="s">
        <v>32</v>
      </c>
      <c r="C5" s="27" t="s">
        <v>218</v>
      </c>
      <c r="D5" s="10" t="s">
        <v>33</v>
      </c>
      <c r="E5" s="10" t="s">
        <v>34</v>
      </c>
      <c r="G5" s="23" t="b">
        <v>1</v>
      </c>
      <c r="H5" s="17" t="s">
        <v>35</v>
      </c>
    </row>
    <row r="6" spans="1:9" ht="150" x14ac:dyDescent="0.25">
      <c r="A6" s="9" t="s">
        <v>36</v>
      </c>
      <c r="B6" s="10" t="s">
        <v>37</v>
      </c>
      <c r="C6" s="27" t="s">
        <v>238</v>
      </c>
      <c r="D6" s="10" t="s">
        <v>38</v>
      </c>
      <c r="E6" s="10" t="s">
        <v>34</v>
      </c>
      <c r="G6" s="23" t="b">
        <v>1</v>
      </c>
      <c r="H6" s="17" t="s">
        <v>39</v>
      </c>
    </row>
    <row r="7" spans="1:9" ht="45" x14ac:dyDescent="0.25">
      <c r="A7" s="9" t="s">
        <v>40</v>
      </c>
      <c r="B7" s="10" t="s">
        <v>41</v>
      </c>
      <c r="C7" s="27" t="s">
        <v>215</v>
      </c>
      <c r="D7" s="10" t="s">
        <v>42</v>
      </c>
      <c r="E7" s="10" t="s">
        <v>34</v>
      </c>
      <c r="F7" s="10" t="s">
        <v>43</v>
      </c>
      <c r="G7" s="23" t="b">
        <v>1</v>
      </c>
      <c r="H7" s="17" t="s">
        <v>44</v>
      </c>
    </row>
    <row r="8" spans="1:9" ht="30" x14ac:dyDescent="0.25">
      <c r="A8" s="9" t="s">
        <v>45</v>
      </c>
      <c r="B8" s="10" t="s">
        <v>46</v>
      </c>
      <c r="C8" s="27" t="s">
        <v>236</v>
      </c>
      <c r="D8" s="10" t="s">
        <v>47</v>
      </c>
      <c r="E8" s="10" t="s">
        <v>34</v>
      </c>
      <c r="G8" s="23" t="b">
        <v>1</v>
      </c>
      <c r="H8" s="17" t="s">
        <v>48</v>
      </c>
    </row>
    <row r="9" spans="1:9" ht="45" x14ac:dyDescent="0.25">
      <c r="A9" s="9" t="s">
        <v>49</v>
      </c>
      <c r="B9" s="10" t="s">
        <v>50</v>
      </c>
      <c r="C9" s="25" t="s">
        <v>237</v>
      </c>
      <c r="D9" s="10" t="s">
        <v>51</v>
      </c>
      <c r="E9" s="10" t="s">
        <v>34</v>
      </c>
      <c r="G9" s="23" t="b">
        <v>1</v>
      </c>
      <c r="H9" s="10" t="s">
        <v>52</v>
      </c>
    </row>
    <row r="10" spans="1:9" ht="30" x14ac:dyDescent="0.25">
      <c r="A10" s="9" t="s">
        <v>53</v>
      </c>
      <c r="B10" s="10" t="s">
        <v>54</v>
      </c>
      <c r="C10" s="27" t="s">
        <v>235</v>
      </c>
      <c r="D10" s="10" t="s">
        <v>55</v>
      </c>
      <c r="E10" s="10" t="s">
        <v>34</v>
      </c>
      <c r="G10" s="23" t="b">
        <v>1</v>
      </c>
      <c r="H10" s="10" t="s">
        <v>56</v>
      </c>
    </row>
    <row r="11" spans="1:9" ht="75" x14ac:dyDescent="0.25">
      <c r="A11" s="9" t="s">
        <v>57</v>
      </c>
      <c r="B11" s="10" t="s">
        <v>58</v>
      </c>
      <c r="C11" s="27" t="s">
        <v>241</v>
      </c>
      <c r="D11" s="10" t="s">
        <v>59</v>
      </c>
      <c r="E11" s="10" t="s">
        <v>34</v>
      </c>
      <c r="G11" s="21"/>
      <c r="H11" s="17" t="s">
        <v>60</v>
      </c>
    </row>
    <row r="12" spans="1:9" x14ac:dyDescent="0.25">
      <c r="A12" s="9" t="s">
        <v>61</v>
      </c>
      <c r="B12" s="10" t="s">
        <v>62</v>
      </c>
      <c r="C12" s="27" t="b">
        <v>1</v>
      </c>
      <c r="D12" s="10" t="s">
        <v>63</v>
      </c>
      <c r="E12" s="10" t="s">
        <v>64</v>
      </c>
      <c r="F12" s="10" t="s">
        <v>65</v>
      </c>
      <c r="G12" s="23" t="b">
        <v>1</v>
      </c>
      <c r="H12" s="10" t="s">
        <v>66</v>
      </c>
    </row>
    <row r="13" spans="1:9" x14ac:dyDescent="0.25">
      <c r="A13" s="9" t="s">
        <v>67</v>
      </c>
      <c r="B13" s="10" t="s">
        <v>68</v>
      </c>
      <c r="C13" s="27">
        <v>2023</v>
      </c>
      <c r="D13" s="10" t="s">
        <v>69</v>
      </c>
      <c r="E13" s="10" t="s">
        <v>30</v>
      </c>
      <c r="F13" s="10" t="s">
        <v>70</v>
      </c>
      <c r="G13" s="23" t="b">
        <v>1</v>
      </c>
    </row>
    <row r="14" spans="1:9" ht="18" customHeight="1" x14ac:dyDescent="0.25">
      <c r="A14" s="9" t="s">
        <v>71</v>
      </c>
      <c r="B14" s="10" t="s">
        <v>72</v>
      </c>
      <c r="C14" s="27">
        <v>2024</v>
      </c>
      <c r="D14" s="10" t="s">
        <v>73</v>
      </c>
      <c r="E14" s="10" t="s">
        <v>30</v>
      </c>
      <c r="F14" s="10" t="s">
        <v>74</v>
      </c>
      <c r="G14" s="23" t="b">
        <v>1</v>
      </c>
    </row>
    <row r="15" spans="1:9" ht="58.15" customHeight="1" x14ac:dyDescent="0.25">
      <c r="A15" s="9" t="s">
        <v>75</v>
      </c>
      <c r="B15" s="10" t="s">
        <v>76</v>
      </c>
      <c r="C15" s="27" t="s">
        <v>239</v>
      </c>
      <c r="D15" s="10" t="s">
        <v>77</v>
      </c>
      <c r="E15" s="10" t="s">
        <v>34</v>
      </c>
      <c r="G15" s="21"/>
      <c r="H15" s="17" t="s">
        <v>78</v>
      </c>
    </row>
    <row r="16" spans="1:9" x14ac:dyDescent="0.25">
      <c r="A16" s="9" t="s">
        <v>79</v>
      </c>
      <c r="B16" s="10" t="s">
        <v>80</v>
      </c>
      <c r="C16" s="27">
        <f>(375195.66)+(2838616+18500+385200+276285)+(150000+300000+300000)+40000</f>
        <v>4683796.66</v>
      </c>
      <c r="D16" s="10" t="s">
        <v>81</v>
      </c>
      <c r="E16" s="10" t="s">
        <v>30</v>
      </c>
      <c r="G16" s="23" t="b">
        <v>1</v>
      </c>
      <c r="H16" s="10" t="s">
        <v>82</v>
      </c>
    </row>
    <row r="17" spans="1:8" ht="88.15" customHeight="1" x14ac:dyDescent="0.25">
      <c r="A17" s="9" t="s">
        <v>83</v>
      </c>
      <c r="B17" s="10" t="s">
        <v>84</v>
      </c>
      <c r="C17" s="27" t="s">
        <v>243</v>
      </c>
      <c r="D17" s="10" t="s">
        <v>85</v>
      </c>
      <c r="E17" s="10" t="s">
        <v>34</v>
      </c>
      <c r="G17" s="21"/>
      <c r="H17" s="17" t="s">
        <v>39</v>
      </c>
    </row>
    <row r="18" spans="1:8" ht="30" x14ac:dyDescent="0.25">
      <c r="A18" s="9" t="s">
        <v>86</v>
      </c>
      <c r="B18" s="10" t="s">
        <v>87</v>
      </c>
      <c r="C18" s="27">
        <f>(375195.66)+(2838616+18500+385200+276285)+(150000+300000+300000)+40000</f>
        <v>4683796.66</v>
      </c>
      <c r="D18" s="10" t="s">
        <v>88</v>
      </c>
      <c r="E18" s="10" t="s">
        <v>30</v>
      </c>
      <c r="G18" s="23" t="b">
        <v>1</v>
      </c>
      <c r="H18" s="20" t="s">
        <v>89</v>
      </c>
    </row>
    <row r="19" spans="1:8" ht="60" x14ac:dyDescent="0.25">
      <c r="A19" s="9" t="s">
        <v>90</v>
      </c>
      <c r="B19" s="10" t="s">
        <v>91</v>
      </c>
      <c r="C19" s="27">
        <v>0</v>
      </c>
      <c r="D19" s="10" t="s">
        <v>92</v>
      </c>
      <c r="E19" s="10" t="s">
        <v>30</v>
      </c>
      <c r="G19" s="21"/>
      <c r="H19" s="17" t="s">
        <v>93</v>
      </c>
    </row>
    <row r="20" spans="1:8" ht="45" x14ac:dyDescent="0.25">
      <c r="A20" s="9" t="s">
        <v>94</v>
      </c>
      <c r="B20" s="10" t="s">
        <v>95</v>
      </c>
      <c r="C20" s="27" t="s">
        <v>245</v>
      </c>
      <c r="D20" s="10" t="s">
        <v>96</v>
      </c>
      <c r="E20" s="10" t="s">
        <v>34</v>
      </c>
      <c r="G20" s="21"/>
      <c r="H20" s="20" t="s">
        <v>97</v>
      </c>
    </row>
    <row r="21" spans="1:8" ht="60" x14ac:dyDescent="0.25">
      <c r="A21" s="9" t="s">
        <v>98</v>
      </c>
      <c r="B21" s="10" t="s">
        <v>99</v>
      </c>
      <c r="C21" s="27" t="s">
        <v>214</v>
      </c>
      <c r="D21" s="10" t="s">
        <v>100</v>
      </c>
      <c r="E21" s="10" t="s">
        <v>34</v>
      </c>
      <c r="F21" s="10" t="s">
        <v>101</v>
      </c>
      <c r="G21" s="23" t="b">
        <v>1</v>
      </c>
      <c r="H21" s="9" t="s">
        <v>102</v>
      </c>
    </row>
    <row r="22" spans="1:8" ht="90" x14ac:dyDescent="0.25">
      <c r="A22" s="9" t="s">
        <v>103</v>
      </c>
      <c r="B22" s="10" t="s">
        <v>104</v>
      </c>
      <c r="C22" s="27" t="s">
        <v>213</v>
      </c>
      <c r="D22" s="10" t="s">
        <v>105</v>
      </c>
      <c r="E22" s="10" t="s">
        <v>34</v>
      </c>
      <c r="F22" s="10" t="s">
        <v>106</v>
      </c>
      <c r="G22" s="23" t="b">
        <v>1</v>
      </c>
      <c r="H22" s="17" t="s">
        <v>107</v>
      </c>
    </row>
    <row r="23" spans="1:8" ht="123" customHeight="1" x14ac:dyDescent="0.25">
      <c r="A23" s="9" t="s">
        <v>108</v>
      </c>
      <c r="B23" s="10" t="s">
        <v>109</v>
      </c>
      <c r="D23" s="10" t="s">
        <v>108</v>
      </c>
      <c r="E23" s="10" t="s">
        <v>110</v>
      </c>
      <c r="G23" s="22"/>
      <c r="H23" s="17" t="s">
        <v>210</v>
      </c>
    </row>
    <row r="24" spans="1:8" ht="30" x14ac:dyDescent="0.25">
      <c r="A24" s="9" t="s">
        <v>111</v>
      </c>
      <c r="B24" s="10" t="s">
        <v>112</v>
      </c>
      <c r="D24" s="10" t="s">
        <v>113</v>
      </c>
      <c r="E24" s="10" t="s">
        <v>110</v>
      </c>
      <c r="G24" s="22"/>
      <c r="H24" s="10" t="s">
        <v>114</v>
      </c>
    </row>
    <row r="25" spans="1:8" ht="30" x14ac:dyDescent="0.25">
      <c r="A25" s="9" t="s">
        <v>115</v>
      </c>
      <c r="B25" s="10" t="s">
        <v>116</v>
      </c>
      <c r="D25" s="10" t="s">
        <v>117</v>
      </c>
      <c r="E25" s="10" t="s">
        <v>110</v>
      </c>
      <c r="G25" s="22"/>
      <c r="H25" s="10" t="s">
        <v>114</v>
      </c>
    </row>
    <row r="26" spans="1:8" ht="30" x14ac:dyDescent="0.25">
      <c r="A26" s="9" t="s">
        <v>118</v>
      </c>
      <c r="B26" s="10" t="s">
        <v>119</v>
      </c>
      <c r="D26" s="10" t="s">
        <v>120</v>
      </c>
      <c r="E26" s="10" t="s">
        <v>110</v>
      </c>
      <c r="G26" s="22"/>
      <c r="H26" s="10" t="s">
        <v>114</v>
      </c>
    </row>
    <row r="27" spans="1:8" ht="30" x14ac:dyDescent="0.25">
      <c r="A27" s="9" t="s">
        <v>121</v>
      </c>
      <c r="B27" s="10" t="s">
        <v>122</v>
      </c>
      <c r="D27" s="10" t="s">
        <v>123</v>
      </c>
      <c r="E27" s="10" t="s">
        <v>110</v>
      </c>
      <c r="G27" s="22"/>
      <c r="H27" s="10" t="s">
        <v>114</v>
      </c>
    </row>
    <row r="28" spans="1:8" ht="30" x14ac:dyDescent="0.25">
      <c r="A28" s="9" t="s">
        <v>124</v>
      </c>
      <c r="B28" s="10" t="s">
        <v>125</v>
      </c>
      <c r="D28" s="10" t="s">
        <v>126</v>
      </c>
      <c r="E28" s="10" t="s">
        <v>110</v>
      </c>
      <c r="G28" s="22"/>
      <c r="H28" s="10" t="s">
        <v>114</v>
      </c>
    </row>
    <row r="29" spans="1:8" ht="30" x14ac:dyDescent="0.25">
      <c r="A29" s="9" t="s">
        <v>127</v>
      </c>
      <c r="B29" s="10" t="s">
        <v>128</v>
      </c>
      <c r="D29" s="10" t="s">
        <v>129</v>
      </c>
      <c r="E29" s="10" t="s">
        <v>110</v>
      </c>
      <c r="G29" s="22"/>
      <c r="H29" s="10" t="s">
        <v>114</v>
      </c>
    </row>
    <row r="30" spans="1:8" ht="30" x14ac:dyDescent="0.25">
      <c r="A30" s="9" t="s">
        <v>130</v>
      </c>
      <c r="B30" s="10" t="s">
        <v>131</v>
      </c>
      <c r="C30" s="27" t="s">
        <v>221</v>
      </c>
      <c r="D30" s="10" t="s">
        <v>132</v>
      </c>
      <c r="E30" s="10" t="s">
        <v>34</v>
      </c>
      <c r="F30" s="10" t="s">
        <v>133</v>
      </c>
      <c r="G30" s="23" t="b">
        <v>1</v>
      </c>
      <c r="H30" s="9" t="s">
        <v>102</v>
      </c>
    </row>
    <row r="31" spans="1:8" ht="198" customHeight="1" x14ac:dyDescent="0.25">
      <c r="A31" s="9" t="s">
        <v>134</v>
      </c>
      <c r="B31" s="10" t="s">
        <v>135</v>
      </c>
      <c r="C31" s="27" t="s">
        <v>216</v>
      </c>
      <c r="D31" s="10" t="s">
        <v>136</v>
      </c>
      <c r="E31" s="10" t="s">
        <v>135</v>
      </c>
      <c r="G31" s="23" t="b">
        <v>1</v>
      </c>
      <c r="H31" s="17" t="s">
        <v>137</v>
      </c>
    </row>
    <row r="32" spans="1:8" ht="30" x14ac:dyDescent="0.25">
      <c r="A32" s="9" t="s">
        <v>138</v>
      </c>
      <c r="B32" s="10" t="s">
        <v>139</v>
      </c>
      <c r="C32" s="24">
        <v>46164</v>
      </c>
      <c r="D32" s="10" t="s">
        <v>140</v>
      </c>
      <c r="E32" s="10" t="s">
        <v>141</v>
      </c>
      <c r="G32" s="21"/>
      <c r="H32" s="10" t="s">
        <v>142</v>
      </c>
    </row>
  </sheetData>
  <hyperlinks>
    <hyperlink ref="C9" r:id="rId1" xr:uid="{AF55BE52-7350-45FE-825C-CE73373EB642}"/>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B9910-30B3-4C23-8B6F-60D264EC9DC0}">
  <sheetPr>
    <tabColor rgb="FF00B0F0"/>
  </sheetPr>
  <dimension ref="A1:B27"/>
  <sheetViews>
    <sheetView workbookViewId="0">
      <selection activeCell="B6" sqref="B6"/>
    </sheetView>
  </sheetViews>
  <sheetFormatPr defaultRowHeight="15" x14ac:dyDescent="0.25"/>
  <cols>
    <col min="1" max="1" width="25.7109375" bestFit="1" customWidth="1"/>
    <col min="2" max="2" width="118" bestFit="1" customWidth="1"/>
  </cols>
  <sheetData>
    <row r="1" spans="1:2" x14ac:dyDescent="0.25">
      <c r="A1" s="18" t="s">
        <v>131</v>
      </c>
      <c r="B1" s="18"/>
    </row>
    <row r="2" spans="1:2" x14ac:dyDescent="0.25">
      <c r="A2" s="18" t="s">
        <v>143</v>
      </c>
      <c r="B2" s="18" t="s">
        <v>144</v>
      </c>
    </row>
    <row r="3" spans="1:2" x14ac:dyDescent="0.25">
      <c r="A3" t="s">
        <v>145</v>
      </c>
      <c r="B3" t="s">
        <v>146</v>
      </c>
    </row>
    <row r="4" spans="1:2" x14ac:dyDescent="0.25">
      <c r="A4" t="s">
        <v>145</v>
      </c>
      <c r="B4" t="s">
        <v>147</v>
      </c>
    </row>
    <row r="5" spans="1:2" x14ac:dyDescent="0.25">
      <c r="A5" t="s">
        <v>145</v>
      </c>
      <c r="B5" t="s">
        <v>148</v>
      </c>
    </row>
    <row r="6" spans="1:2" x14ac:dyDescent="0.25">
      <c r="A6" t="s">
        <v>149</v>
      </c>
      <c r="B6" t="s">
        <v>150</v>
      </c>
    </row>
    <row r="7" spans="1:2" x14ac:dyDescent="0.25">
      <c r="A7" t="s">
        <v>149</v>
      </c>
      <c r="B7" t="s">
        <v>151</v>
      </c>
    </row>
    <row r="8" spans="1:2" x14ac:dyDescent="0.25">
      <c r="A8" t="s">
        <v>152</v>
      </c>
      <c r="B8" t="s">
        <v>153</v>
      </c>
    </row>
    <row r="9" spans="1:2" x14ac:dyDescent="0.25">
      <c r="A9" t="s">
        <v>152</v>
      </c>
      <c r="B9" t="s">
        <v>154</v>
      </c>
    </row>
    <row r="10" spans="1:2" x14ac:dyDescent="0.25">
      <c r="A10" t="s">
        <v>155</v>
      </c>
      <c r="B10" t="s">
        <v>156</v>
      </c>
    </row>
    <row r="11" spans="1:2" x14ac:dyDescent="0.25">
      <c r="A11" t="s">
        <v>155</v>
      </c>
      <c r="B11" t="s">
        <v>157</v>
      </c>
    </row>
    <row r="12" spans="1:2" x14ac:dyDescent="0.25">
      <c r="A12" t="s">
        <v>155</v>
      </c>
      <c r="B12" t="s">
        <v>158</v>
      </c>
    </row>
    <row r="13" spans="1:2" x14ac:dyDescent="0.25">
      <c r="A13" t="s">
        <v>155</v>
      </c>
      <c r="B13" t="s">
        <v>159</v>
      </c>
    </row>
    <row r="14" spans="1:2" x14ac:dyDescent="0.25">
      <c r="A14" t="s">
        <v>155</v>
      </c>
      <c r="B14" t="s">
        <v>160</v>
      </c>
    </row>
    <row r="15" spans="1:2" x14ac:dyDescent="0.25">
      <c r="A15" t="s">
        <v>155</v>
      </c>
      <c r="B15" t="s">
        <v>161</v>
      </c>
    </row>
    <row r="16" spans="1:2" x14ac:dyDescent="0.25">
      <c r="A16" t="s">
        <v>155</v>
      </c>
      <c r="B16" t="s">
        <v>162</v>
      </c>
    </row>
    <row r="17" spans="1:2" x14ac:dyDescent="0.25">
      <c r="A17" t="s">
        <v>163</v>
      </c>
      <c r="B17" t="s">
        <v>164</v>
      </c>
    </row>
    <row r="18" spans="1:2" x14ac:dyDescent="0.25">
      <c r="A18" t="s">
        <v>165</v>
      </c>
      <c r="B18" t="s">
        <v>166</v>
      </c>
    </row>
    <row r="19" spans="1:2" x14ac:dyDescent="0.25">
      <c r="A19" t="s">
        <v>165</v>
      </c>
      <c r="B19" t="s">
        <v>167</v>
      </c>
    </row>
    <row r="20" spans="1:2" x14ac:dyDescent="0.25">
      <c r="A20" t="s">
        <v>168</v>
      </c>
      <c r="B20" t="s">
        <v>169</v>
      </c>
    </row>
    <row r="21" spans="1:2" x14ac:dyDescent="0.25">
      <c r="A21" t="s">
        <v>170</v>
      </c>
      <c r="B21" t="s">
        <v>171</v>
      </c>
    </row>
    <row r="22" spans="1:2" x14ac:dyDescent="0.25">
      <c r="A22" t="s">
        <v>172</v>
      </c>
      <c r="B22" t="s">
        <v>173</v>
      </c>
    </row>
    <row r="23" spans="1:2" x14ac:dyDescent="0.25">
      <c r="A23" t="s">
        <v>174</v>
      </c>
      <c r="B23" t="s">
        <v>175</v>
      </c>
    </row>
    <row r="24" spans="1:2" x14ac:dyDescent="0.25">
      <c r="A24" t="s">
        <v>174</v>
      </c>
      <c r="B24" t="s">
        <v>176</v>
      </c>
    </row>
    <row r="25" spans="1:2" x14ac:dyDescent="0.25">
      <c r="A25" t="s">
        <v>177</v>
      </c>
      <c r="B25" t="s">
        <v>178</v>
      </c>
    </row>
    <row r="26" spans="1:2" x14ac:dyDescent="0.25">
      <c r="A26" t="s">
        <v>179</v>
      </c>
      <c r="B26" t="s">
        <v>180</v>
      </c>
    </row>
    <row r="27" spans="1:2" x14ac:dyDescent="0.25">
      <c r="A27" t="s">
        <v>181</v>
      </c>
      <c r="B27" t="s">
        <v>182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149A25-7C4C-40B6-8CD0-FC3E91A69F51}">
  <sheetPr>
    <tabColor theme="0" tint="-0.14999847407452621"/>
  </sheetPr>
  <dimension ref="A1:J35"/>
  <sheetViews>
    <sheetView workbookViewId="0">
      <selection activeCell="J11" sqref="J11"/>
    </sheetView>
  </sheetViews>
  <sheetFormatPr defaultRowHeight="15" x14ac:dyDescent="0.25"/>
  <cols>
    <col min="1" max="1" width="3.7109375" customWidth="1"/>
    <col min="10" max="10" width="89" customWidth="1"/>
  </cols>
  <sheetData>
    <row r="1" spans="1:10" x14ac:dyDescent="0.25">
      <c r="A1" s="7" t="s">
        <v>183</v>
      </c>
      <c r="B1" s="8"/>
      <c r="C1" s="8"/>
      <c r="D1" s="8"/>
      <c r="E1" s="8"/>
      <c r="F1" s="8"/>
      <c r="G1" s="8"/>
      <c r="H1" s="8"/>
      <c r="I1" s="8"/>
      <c r="J1" s="15" t="s">
        <v>26</v>
      </c>
    </row>
    <row r="2" spans="1:10" x14ac:dyDescent="0.25">
      <c r="A2" t="s">
        <v>184</v>
      </c>
    </row>
    <row r="3" spans="1:10" x14ac:dyDescent="0.25">
      <c r="B3" t="s">
        <v>185</v>
      </c>
    </row>
    <row r="4" spans="1:10" x14ac:dyDescent="0.25">
      <c r="B4" t="s">
        <v>186</v>
      </c>
    </row>
    <row r="5" spans="1:10" x14ac:dyDescent="0.25">
      <c r="B5" t="s">
        <v>187</v>
      </c>
    </row>
    <row r="8" spans="1:10" x14ac:dyDescent="0.25">
      <c r="A8" s="1" t="s">
        <v>188</v>
      </c>
      <c r="B8" s="2"/>
      <c r="C8" s="2"/>
      <c r="D8" s="2"/>
      <c r="E8" s="2"/>
      <c r="F8" s="2"/>
      <c r="G8" s="2"/>
      <c r="H8" s="2"/>
      <c r="I8" s="2"/>
      <c r="J8" s="1" t="s">
        <v>26</v>
      </c>
    </row>
    <row r="9" spans="1:10" x14ac:dyDescent="0.25">
      <c r="A9" t="s">
        <v>189</v>
      </c>
    </row>
    <row r="10" spans="1:10" x14ac:dyDescent="0.25">
      <c r="A10" t="s">
        <v>184</v>
      </c>
    </row>
    <row r="11" spans="1:10" x14ac:dyDescent="0.25">
      <c r="B11" t="s">
        <v>190</v>
      </c>
    </row>
    <row r="12" spans="1:10" x14ac:dyDescent="0.25">
      <c r="B12" t="s">
        <v>191</v>
      </c>
    </row>
    <row r="13" spans="1:10" x14ac:dyDescent="0.25">
      <c r="B13" t="s">
        <v>192</v>
      </c>
    </row>
    <row r="14" spans="1:10" x14ac:dyDescent="0.25">
      <c r="B14" t="s">
        <v>193</v>
      </c>
    </row>
    <row r="15" spans="1:10" x14ac:dyDescent="0.25">
      <c r="B15" t="s">
        <v>194</v>
      </c>
    </row>
    <row r="16" spans="1:10" x14ac:dyDescent="0.25">
      <c r="B16" t="s">
        <v>195</v>
      </c>
    </row>
    <row r="17" spans="1:10" x14ac:dyDescent="0.25">
      <c r="B17" t="s">
        <v>196</v>
      </c>
    </row>
    <row r="18" spans="1:10" x14ac:dyDescent="0.25">
      <c r="B18" t="s">
        <v>197</v>
      </c>
    </row>
    <row r="21" spans="1:10" x14ac:dyDescent="0.25">
      <c r="A21" s="3" t="s">
        <v>198</v>
      </c>
      <c r="B21" s="4"/>
      <c r="C21" s="4"/>
      <c r="D21" s="4"/>
      <c r="E21" s="4"/>
      <c r="F21" s="4"/>
      <c r="G21" s="4"/>
      <c r="H21" s="4"/>
      <c r="I21" s="4"/>
      <c r="J21" s="3" t="s">
        <v>26</v>
      </c>
    </row>
    <row r="22" spans="1:10" x14ac:dyDescent="0.25">
      <c r="A22" t="s">
        <v>184</v>
      </c>
    </row>
    <row r="23" spans="1:10" x14ac:dyDescent="0.25">
      <c r="B23" t="s">
        <v>199</v>
      </c>
    </row>
    <row r="24" spans="1:10" x14ac:dyDescent="0.25">
      <c r="B24" t="s">
        <v>200</v>
      </c>
    </row>
    <row r="25" spans="1:10" x14ac:dyDescent="0.25">
      <c r="B25" t="s">
        <v>201</v>
      </c>
    </row>
    <row r="26" spans="1:10" x14ac:dyDescent="0.25">
      <c r="B26" t="s">
        <v>202</v>
      </c>
    </row>
    <row r="29" spans="1:10" x14ac:dyDescent="0.25">
      <c r="A29" s="5" t="s">
        <v>203</v>
      </c>
      <c r="B29" s="6"/>
      <c r="C29" s="6"/>
      <c r="D29" s="6"/>
      <c r="E29" s="6"/>
      <c r="F29" s="6"/>
      <c r="G29" s="6"/>
      <c r="H29" s="6"/>
      <c r="I29" s="6"/>
      <c r="J29" s="5" t="s">
        <v>26</v>
      </c>
    </row>
    <row r="30" spans="1:10" x14ac:dyDescent="0.25">
      <c r="B30" t="s">
        <v>204</v>
      </c>
    </row>
    <row r="31" spans="1:10" x14ac:dyDescent="0.25">
      <c r="B31" t="s">
        <v>205</v>
      </c>
    </row>
    <row r="32" spans="1:10" x14ac:dyDescent="0.25">
      <c r="B32" t="s">
        <v>206</v>
      </c>
    </row>
    <row r="33" spans="2:2" x14ac:dyDescent="0.25">
      <c r="B33" t="s">
        <v>207</v>
      </c>
    </row>
    <row r="34" spans="2:2" x14ac:dyDescent="0.25">
      <c r="B34" t="s">
        <v>208</v>
      </c>
    </row>
    <row r="35" spans="2:2" x14ac:dyDescent="0.25">
      <c r="B35" t="s">
        <v>209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9637889a-2761-425e-9055-1b3ca9bbe8d0">
      <Terms xmlns="http://schemas.microsoft.com/office/infopath/2007/PartnerControls"/>
    </lcf76f155ced4ddcb4097134ff3c332f>
    <TaxCatchAll xmlns="15b25098-d9b4-469e-8b4c-ff778b88540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BB0A703071AE0438A548DC7A4BF0525" ma:contentTypeVersion="11" ma:contentTypeDescription="Create a new document." ma:contentTypeScope="" ma:versionID="1634163639077ece3bb107e93e9c2f21">
  <xsd:schema xmlns:xsd="http://www.w3.org/2001/XMLSchema" xmlns:xs="http://www.w3.org/2001/XMLSchema" xmlns:p="http://schemas.microsoft.com/office/2006/metadata/properties" xmlns:ns2="9637889a-2761-425e-9055-1b3ca9bbe8d0" xmlns:ns3="15b25098-d9b4-469e-8b4c-ff778b885406" targetNamespace="http://schemas.microsoft.com/office/2006/metadata/properties" ma:root="true" ma:fieldsID="643f2c815f310f1b15058b375eeb5edd" ns2:_="" ns3:_="">
    <xsd:import namespace="9637889a-2761-425e-9055-1b3ca9bbe8d0"/>
    <xsd:import namespace="15b25098-d9b4-469e-8b4c-ff778b88540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637889a-2761-425e-9055-1b3ca9bbe8d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371ecb05-0956-4e6d-9ae5-eff283dd9776"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Location" ma:index="18"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5b25098-d9b4-469e-8b4c-ff778b88540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eac2720a-dcf6-479b-b9e5-19356b04dab8}" ma:internalName="TaxCatchAll" ma:showField="CatchAllData" ma:web="15b25098-d9b4-469e-8b4c-ff778b88540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83D2ECC-FF96-45A1-8B38-C53F22969EAD}">
  <ds:schemaRefs>
    <ds:schemaRef ds:uri="http://www.w3.org/XML/1998/namespace"/>
    <ds:schemaRef ds:uri="http://purl.org/dc/dcmitype/"/>
    <ds:schemaRef ds:uri="http://purl.org/dc/elements/1.1/"/>
    <ds:schemaRef ds:uri="http://schemas.microsoft.com/office/infopath/2007/PartnerControls"/>
    <ds:schemaRef ds:uri="http://schemas.microsoft.com/office/2006/documentManagement/types"/>
    <ds:schemaRef ds:uri="9637889a-2761-425e-9055-1b3ca9bbe8d0"/>
    <ds:schemaRef ds:uri="15b25098-d9b4-469e-8b4c-ff778b885406"/>
    <ds:schemaRef ds:uri="http://schemas.openxmlformats.org/package/2006/metadata/core-properties"/>
    <ds:schemaRef ds:uri="http://schemas.microsoft.com/office/2006/metadata/properties"/>
    <ds:schemaRef ds:uri="http://purl.org/dc/terms/"/>
  </ds:schemaRefs>
</ds:datastoreItem>
</file>

<file path=customXml/itemProps2.xml><?xml version="1.0" encoding="utf-8"?>
<ds:datastoreItem xmlns:ds="http://schemas.openxmlformats.org/officeDocument/2006/customXml" ds:itemID="{5475D72F-8183-456D-BEFB-6E0BE7868F15}">
  <ds:schemaRefs>
    <ds:schemaRef ds:uri="http://schemas.microsoft.com/sharepoint/v3/contenttype/forms"/>
  </ds:schemaRefs>
</ds:datastoreItem>
</file>

<file path=customXml/itemProps3.xml><?xml version="1.0" encoding="utf-8"?>
<ds:datastoreItem xmlns:ds="http://schemas.openxmlformats.org/officeDocument/2006/customXml" ds:itemID="{05B31A9C-D0B7-4D2C-A22A-B8369AD36A4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637889a-2761-425e-9055-1b3ca9bbe8d0"/>
    <ds:schemaRef ds:uri="15b25098-d9b4-469e-8b4c-ff778b88540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notes-instructions</vt:lpstr>
      <vt:lpstr>schema</vt:lpstr>
      <vt:lpstr>HW</vt:lpstr>
      <vt:lpstr>LLB</vt:lpstr>
      <vt:lpstr>ULB</vt:lpstr>
      <vt:lpstr>URB</vt:lpstr>
      <vt:lpstr>target-species</vt:lpstr>
      <vt:lpstr>validation-heuristics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Stephanie Day</dc:creator>
  <cp:keywords/>
  <dc:description/>
  <cp:lastModifiedBy>Matthew Weber</cp:lastModifiedBy>
  <cp:revision/>
  <dcterms:created xsi:type="dcterms:W3CDTF">2026-04-20T23:38:38Z</dcterms:created>
  <dcterms:modified xsi:type="dcterms:W3CDTF">2026-05-22T21:25:44Z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0x010100FBB0A703071AE0438A548DC7A4BF0525</vt:lpwstr>
  </property>
  <property fmtid="{D5CDD505-2E9C-101B-9397-08002B2CF9AE}" pid="3" name="MediaServiceImageTags">
    <vt:lpwstr/>
  </property>
</Properties>
</file>